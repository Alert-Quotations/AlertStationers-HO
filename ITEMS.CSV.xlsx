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rt\OneDrive\Desktop\"/>
    </mc:Choice>
  </mc:AlternateContent>
  <xr:revisionPtr revIDLastSave="0" documentId="8_{E00E5014-2BD4-47EB-8004-0F22356A0920}" xr6:coauthVersionLast="47" xr6:coauthVersionMax="47" xr10:uidLastSave="{00000000-0000-0000-0000-000000000000}"/>
  <workbookProtection workbookAlgorithmName="SHA-512" workbookHashValue="hMUPg+5Q5HqyI8YWW2utC0hNtkIGw3QeMN2C6AM7BdYXtD4aIt7rmWaE2WsRIGKEXvGRp70s6QAaXcHWO1VeDw==" workbookSaltValue="BWCkLSQ8mbFF9H3l5Exx/A==" workbookSpinCount="100000" lockStructure="1"/>
  <bookViews>
    <workbookView xWindow="-108" yWindow="-108" windowWidth="23256" windowHeight="12456" activeTab="3" xr2:uid="{15244715-2E4E-4212-9AE9-F4EF8139F885}"/>
  </bookViews>
  <sheets>
    <sheet name="Cover" sheetId="6" r:id="rId1"/>
    <sheet name="Quotation" sheetId="1" r:id="rId2"/>
    <sheet name="Customers" sheetId="2" r:id="rId3"/>
    <sheet name="Products" sheetId="3" r:id="rId4"/>
  </sheets>
  <definedNames>
    <definedName name="Code">Table1[Code]</definedName>
    <definedName name="Contact">Table1[Contact]</definedName>
    <definedName name="Name">Table1[Name]</definedName>
    <definedName name="Price">Products!$D$5:$D$490</definedName>
    <definedName name="_xlnm.Print_Area" localSheetId="1">Quotation!$A$1:$E$72</definedName>
    <definedName name="Product">Products!$A$5:$A$490</definedName>
    <definedName name="StockCode">Products!$B$5:$B$490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14" i="1"/>
  <c r="E14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A52" i="1"/>
  <c r="E52" i="1"/>
</calcChain>
</file>

<file path=xl/sharedStrings.xml><?xml version="1.0" encoding="utf-8"?>
<sst xmlns="http://schemas.openxmlformats.org/spreadsheetml/2006/main" count="1019" uniqueCount="1009">
  <si>
    <t>Code</t>
  </si>
  <si>
    <t>Product</t>
  </si>
  <si>
    <t>Qty</t>
  </si>
  <si>
    <t>Price</t>
  </si>
  <si>
    <t>Total</t>
  </si>
  <si>
    <t>StockCode</t>
  </si>
  <si>
    <t>Name</t>
  </si>
  <si>
    <t>Contact</t>
  </si>
  <si>
    <t>Address1</t>
  </si>
  <si>
    <t>Address2</t>
  </si>
  <si>
    <t>Address3</t>
  </si>
  <si>
    <t>Address4</t>
  </si>
  <si>
    <t>Zip</t>
  </si>
  <si>
    <t>Highfield</t>
  </si>
  <si>
    <t>A102</t>
  </si>
  <si>
    <t>Albert Chairs</t>
  </si>
  <si>
    <t>Ken Albert</t>
  </si>
  <si>
    <t>23 The Muse</t>
  </si>
  <si>
    <t>Clayton</t>
  </si>
  <si>
    <t>Corsley</t>
  </si>
  <si>
    <t>Anywhere</t>
  </si>
  <si>
    <t>Total Quote Value</t>
  </si>
  <si>
    <t xml:space="preserve">                                                                            specialists in Accounting and Small Business applications designed using Excel</t>
  </si>
  <si>
    <t>Mr.Spreadsheet specialises in the sale of Accounting and Small Business software applications designed using Excel.</t>
  </si>
  <si>
    <t>Our mainline products are :</t>
  </si>
  <si>
    <t>We welcome your enquiries on any of these applications</t>
  </si>
  <si>
    <t>Please also subscribe to our monthly newletter [details at the foot of each page on our website]</t>
  </si>
  <si>
    <r>
      <t xml:space="preserve">Thank you for downloading our Spreadsheet Template, </t>
    </r>
    <r>
      <rPr>
        <b/>
        <sz val="12"/>
        <color theme="1"/>
        <rFont val="Calibri"/>
        <family val="2"/>
        <scheme val="minor"/>
      </rPr>
      <t>we do hope that you enjoy using the product.</t>
    </r>
  </si>
  <si>
    <r>
      <t xml:space="preserve">We welcome you to join us on any one of our platforms, </t>
    </r>
    <r>
      <rPr>
        <b/>
        <sz val="12"/>
        <color theme="1"/>
        <rFont val="Calibri"/>
        <family val="2"/>
        <scheme val="minor"/>
      </rPr>
      <t>for updates, news and free products</t>
    </r>
    <r>
      <rPr>
        <b/>
        <sz val="16"/>
        <color theme="5"/>
        <rFont val="Calibri"/>
        <family val="2"/>
        <scheme val="minor"/>
      </rPr>
      <t>.</t>
    </r>
  </si>
  <si>
    <t>We use the following social media platforms, so please Subscribe, Like and follow to receive notifications and updates</t>
  </si>
  <si>
    <t xml:space="preserve">You can also visit us at </t>
  </si>
  <si>
    <t>www.MrSpreadSheet.com</t>
  </si>
  <si>
    <t>Bookkeeping range - Simple Bookkeeping software for individuals and small trades</t>
  </si>
  <si>
    <t>Accounting EasyBooks spreadsheet range - Easy to use Accounting software for sole traders and small businesses</t>
  </si>
  <si>
    <t>Cash Flow Forecasting and Financial Business Plans</t>
  </si>
  <si>
    <t>Copyright © 2023 Heron Accounting Services, Poole Dorset, UK. - All Worldwide Rights Reserved.</t>
  </si>
  <si>
    <t>AS001</t>
  </si>
  <si>
    <t xml:space="preserve">A4 32PG F/R &amp; MARGIN </t>
  </si>
  <si>
    <t>AS002</t>
  </si>
  <si>
    <t xml:space="preserve">A4 32PG QUAD </t>
  </si>
  <si>
    <t>AS003</t>
  </si>
  <si>
    <t>A4 32PG 17MM RULED&amp; MARGIN</t>
  </si>
  <si>
    <t>AS004</t>
  </si>
  <si>
    <t>A4 48PG F/R &amp;MARGIN</t>
  </si>
  <si>
    <t>AS005</t>
  </si>
  <si>
    <t>A4 72PG F/R &amp;MARGIN</t>
  </si>
  <si>
    <t>AS006</t>
  </si>
  <si>
    <t xml:space="preserve">A4 72PG IRISH RULED &amp;MARGIN </t>
  </si>
  <si>
    <t>AS007</t>
  </si>
  <si>
    <t xml:space="preserve">A4 72PG QUAD RULED&amp;MARGIN </t>
  </si>
  <si>
    <t>AS008</t>
  </si>
  <si>
    <t xml:space="preserve">A4 72PG UNRULED </t>
  </si>
  <si>
    <t>AS009</t>
  </si>
  <si>
    <t>A4 72PG 17MM RULED&amp;MARGIN</t>
  </si>
  <si>
    <t>AS010</t>
  </si>
  <si>
    <t xml:space="preserve">A5 48PG F/R &amp;MARGIN </t>
  </si>
  <si>
    <t>AS011</t>
  </si>
  <si>
    <t xml:space="preserve">A5 48PG QUAD RULED  &amp;MARGIN </t>
  </si>
  <si>
    <t>AS012</t>
  </si>
  <si>
    <t xml:space="preserve">A5 48PG UNRULED </t>
  </si>
  <si>
    <t>AS013</t>
  </si>
  <si>
    <t xml:space="preserve">A4 48PG 17MM RULED &amp; MARGIN </t>
  </si>
  <si>
    <t>AS014</t>
  </si>
  <si>
    <t xml:space="preserve">A5 72PG F/R&amp; MARGIN </t>
  </si>
  <si>
    <t>AS015</t>
  </si>
  <si>
    <t xml:space="preserve">A5 72PG IRISH RULED &amp;MARGIN </t>
  </si>
  <si>
    <t>AS016</t>
  </si>
  <si>
    <t xml:space="preserve">A5 72PG QUAD RULED &amp;MARGIN </t>
  </si>
  <si>
    <t>AS017</t>
  </si>
  <si>
    <t xml:space="preserve">A5L 48PG F/R </t>
  </si>
  <si>
    <t>AS018</t>
  </si>
  <si>
    <t xml:space="preserve">A5L 48PG 17MM RULING </t>
  </si>
  <si>
    <t>AS019</t>
  </si>
  <si>
    <t>A4 72PG F/R JOTTER</t>
  </si>
  <si>
    <t>AS020</t>
  </si>
  <si>
    <t xml:space="preserve">A4 72PG UNRULED JOTTER </t>
  </si>
  <si>
    <t>AS021</t>
  </si>
  <si>
    <t xml:space="preserve">A4 72PG 17MM F/M </t>
  </si>
  <si>
    <t>AS022</t>
  </si>
  <si>
    <t xml:space="preserve">A4 32PG 17MM F/M </t>
  </si>
  <si>
    <t>AS023</t>
  </si>
  <si>
    <t xml:space="preserve">A5 48PG F/M </t>
  </si>
  <si>
    <t>AS024</t>
  </si>
  <si>
    <t xml:space="preserve">A4 72PG F/R PERFORATED PAGES PUNCHED </t>
  </si>
  <si>
    <t>AS025</t>
  </si>
  <si>
    <t xml:space="preserve">A5 96PG F/M </t>
  </si>
  <si>
    <t>AS026</t>
  </si>
  <si>
    <t xml:space="preserve">A5 192PG F/M </t>
  </si>
  <si>
    <t>AS027</t>
  </si>
  <si>
    <t xml:space="preserve">A5 INDEXED A-Z 144PG </t>
  </si>
  <si>
    <t>AS028</t>
  </si>
  <si>
    <t xml:space="preserve">A4 1 QUIRE 96PG </t>
  </si>
  <si>
    <t>AS029</t>
  </si>
  <si>
    <t xml:space="preserve">A4 2 QUIRE 192PG </t>
  </si>
  <si>
    <t>AS030</t>
  </si>
  <si>
    <t xml:space="preserve">A4 3 QUIRE 288PG </t>
  </si>
  <si>
    <t>AS031</t>
  </si>
  <si>
    <t>A6 144PG F/M</t>
  </si>
  <si>
    <t>AS032</t>
  </si>
  <si>
    <t xml:space="preserve">A6 144PG MEMO INDEXED A-Z </t>
  </si>
  <si>
    <t>AS033</t>
  </si>
  <si>
    <t>A4 2 QUIRE 192PG QUAD/MARGIN</t>
  </si>
  <si>
    <t>AS034</t>
  </si>
  <si>
    <t xml:space="preserve">A4 72PG TREBLE CASH </t>
  </si>
  <si>
    <t>AS035</t>
  </si>
  <si>
    <t xml:space="preserve">A4 DOUBLE LEDGER </t>
  </si>
  <si>
    <t>AS036</t>
  </si>
  <si>
    <t xml:space="preserve">A4 JOURNAL </t>
  </si>
  <si>
    <t>AS037</t>
  </si>
  <si>
    <t xml:space="preserve">A4 8 MC CASH JOURNAL </t>
  </si>
  <si>
    <t>AS038</t>
  </si>
  <si>
    <t xml:space="preserve">A4 8MC CREDITORS JOURNAL </t>
  </si>
  <si>
    <t>AS039</t>
  </si>
  <si>
    <t>A4 72PG SOFT COVER F/R</t>
  </si>
  <si>
    <t>AS040</t>
  </si>
  <si>
    <t xml:space="preserve">A4 72PG SOFT COVER IRISH RULED </t>
  </si>
  <si>
    <t>AS041</t>
  </si>
  <si>
    <t xml:space="preserve">SCRAP BOOK </t>
  </si>
  <si>
    <t>AS042</t>
  </si>
  <si>
    <t>A4 MUSIC BOOK</t>
  </si>
  <si>
    <t>AS043</t>
  </si>
  <si>
    <t xml:space="preserve">A4L 24PG NOT INTERLEAVED </t>
  </si>
  <si>
    <t>AS044</t>
  </si>
  <si>
    <t xml:space="preserve">A3L INTERLEAVED WITH TISSUE  32PG </t>
  </si>
  <si>
    <t>AS045</t>
  </si>
  <si>
    <t xml:space="preserve">A4L SKETCH PAD 25SHEETS OPENS FLAT </t>
  </si>
  <si>
    <t>AS046</t>
  </si>
  <si>
    <t xml:space="preserve">A3L SKETCH PAD 40 SHEET OPENS FLAT </t>
  </si>
  <si>
    <t>AS047</t>
  </si>
  <si>
    <t xml:space="preserve">A4L SKETCH BOOK 60 SHEET </t>
  </si>
  <si>
    <t>AS048</t>
  </si>
  <si>
    <t xml:space="preserve">A4 30 SHEETS </t>
  </si>
  <si>
    <t>AS049</t>
  </si>
  <si>
    <t xml:space="preserve">A5L 72PG TRACING BOOK </t>
  </si>
  <si>
    <t>AS050</t>
  </si>
  <si>
    <t xml:space="preserve">A6 F/R 72PG SOFT COVER NOTE BOOK </t>
  </si>
  <si>
    <t>AS051</t>
  </si>
  <si>
    <t xml:space="preserve">A4 36PG F/R GRAPH BOOK </t>
  </si>
  <si>
    <t>AS052</t>
  </si>
  <si>
    <t xml:space="preserve">A4 WHITE 80GSM 500 SHEET PER REAM </t>
  </si>
  <si>
    <t>AS053</t>
  </si>
  <si>
    <t xml:space="preserve">EXAMINATION PAD 100 SHEET </t>
  </si>
  <si>
    <t>AS054</t>
  </si>
  <si>
    <t xml:space="preserve">A4 H/D 5S </t>
  </si>
  <si>
    <t>AS055</t>
  </si>
  <si>
    <t>A5 H/D 5S</t>
  </si>
  <si>
    <t>AS056</t>
  </si>
  <si>
    <t>A5L H/D 5S</t>
  </si>
  <si>
    <t>AS057</t>
  </si>
  <si>
    <t xml:space="preserve">A4 10S 50 MICRON </t>
  </si>
  <si>
    <t>AS058</t>
  </si>
  <si>
    <t xml:space="preserve">A5 10S 50 MICRON </t>
  </si>
  <si>
    <t>AS059</t>
  </si>
  <si>
    <t xml:space="preserve">A4 PRECUT KRAFT COVERS 10S </t>
  </si>
  <si>
    <t>AS060</t>
  </si>
  <si>
    <t>A5 PRECUT KRAFT COVERS 10S</t>
  </si>
  <si>
    <t>AS061</t>
  </si>
  <si>
    <t>A4 PRECUT RAINBOW COVER 5S</t>
  </si>
  <si>
    <t>AS062</t>
  </si>
  <si>
    <t>A5 PRECUT RAINBOW COVERS 5S</t>
  </si>
  <si>
    <t>AS063</t>
  </si>
  <si>
    <t xml:space="preserve">A4 BRIGHT PLASTIC COVER 5S </t>
  </si>
  <si>
    <t>AS064</t>
  </si>
  <si>
    <t xml:space="preserve">CLEAR PLASTIC ROLLS  450MMX3M 60MIC-MEDIUM </t>
  </si>
  <si>
    <t>AS065</t>
  </si>
  <si>
    <t xml:space="preserve">CLEAR PLASTIC ROLLS 450MMX3M 100MIC-HEAVY  </t>
  </si>
  <si>
    <t>AS066</t>
  </si>
  <si>
    <t xml:space="preserve">CLEAR PLASTIC ROLLS SELF ADHESIVE 450X2M </t>
  </si>
  <si>
    <t>AS067</t>
  </si>
  <si>
    <t xml:space="preserve">BROWN PAPER ROLL 480MMX3M </t>
  </si>
  <si>
    <t>AS068</t>
  </si>
  <si>
    <t xml:space="preserve">COLOUR KRAFT ROLL 480MMX2M </t>
  </si>
  <si>
    <t>AS069</t>
  </si>
  <si>
    <t>BLUE BOARDER LABELS 24S</t>
  </si>
  <si>
    <t>AS070</t>
  </si>
  <si>
    <t xml:space="preserve">CROXLEY 22G GLUE STICK </t>
  </si>
  <si>
    <t>AS071</t>
  </si>
  <si>
    <t xml:space="preserve">CROXLEY GLUE STICK 36G JUMBO </t>
  </si>
  <si>
    <t>AS072</t>
  </si>
  <si>
    <t>PONAL WOOD GLUE 100ML</t>
  </si>
  <si>
    <t>AS073</t>
  </si>
  <si>
    <t xml:space="preserve">PRITT LARGE 22G </t>
  </si>
  <si>
    <t>AS074</t>
  </si>
  <si>
    <t>PRITT JUMBO 43G</t>
  </si>
  <si>
    <t>AS075</t>
  </si>
  <si>
    <t>BOSTIK GLUE STICK 25G</t>
  </si>
  <si>
    <t>AS076</t>
  </si>
  <si>
    <t>BOSTIK GLUE STICK 36G</t>
  </si>
  <si>
    <t>AS077</t>
  </si>
  <si>
    <t xml:space="preserve">BOSTIK PRESTIK 100G </t>
  </si>
  <si>
    <t>AS078</t>
  </si>
  <si>
    <t xml:space="preserve">BOSTIK CLEAR TUBE 25ML </t>
  </si>
  <si>
    <t>AS079</t>
  </si>
  <si>
    <t xml:space="preserve">ART AND CRAFT GLUE 100ML </t>
  </si>
  <si>
    <t>AS080</t>
  </si>
  <si>
    <t xml:space="preserve">ALCOLIN WOOD GLUE 125ML </t>
  </si>
  <si>
    <t>AS081</t>
  </si>
  <si>
    <t>GLITTER GLUE PACK 5</t>
  </si>
  <si>
    <t>AS082</t>
  </si>
  <si>
    <t>PONAL WOOD GLUE 120ML</t>
  </si>
  <si>
    <t>AS083</t>
  </si>
  <si>
    <t>SELLO TAPE 12X33</t>
  </si>
  <si>
    <t>AS084</t>
  </si>
  <si>
    <t>SELLO TAPE 12X50</t>
  </si>
  <si>
    <t>AS085</t>
  </si>
  <si>
    <t>PENGUIN WOOD GLUE 125ML</t>
  </si>
  <si>
    <t>AS086</t>
  </si>
  <si>
    <t>CROXLEY PENS BLUE EACH</t>
  </si>
  <si>
    <t>AS087</t>
  </si>
  <si>
    <t>CROXLEY PENS BLACK EACH</t>
  </si>
  <si>
    <t>AS088</t>
  </si>
  <si>
    <t>CROXLEY PENS RED EACH</t>
  </si>
  <si>
    <t>AS089</t>
  </si>
  <si>
    <t xml:space="preserve">CROXLEY PENS BLUE  10S </t>
  </si>
  <si>
    <t>AS090</t>
  </si>
  <si>
    <t xml:space="preserve">CRYSTAL MEDIUM BLUE </t>
  </si>
  <si>
    <t>AS091</t>
  </si>
  <si>
    <t xml:space="preserve">CRYSTAL MEDIUM BLACK </t>
  </si>
  <si>
    <t>AS092</t>
  </si>
  <si>
    <t xml:space="preserve">CRYSTAL MEDIUM RED </t>
  </si>
  <si>
    <t>AS093</t>
  </si>
  <si>
    <t xml:space="preserve">ORANGE FINE BLUE </t>
  </si>
  <si>
    <t>AS094</t>
  </si>
  <si>
    <t xml:space="preserve">ORANGE FINE BLACK </t>
  </si>
  <si>
    <t>AS095</t>
  </si>
  <si>
    <t xml:space="preserve">ORANGE FINE RED </t>
  </si>
  <si>
    <t>AS096</t>
  </si>
  <si>
    <t xml:space="preserve">BIC CLIC MED BLUE </t>
  </si>
  <si>
    <t>AS097</t>
  </si>
  <si>
    <t xml:space="preserve">BIC  CLIC MED BLACK </t>
  </si>
  <si>
    <t>AS098</t>
  </si>
  <si>
    <t xml:space="preserve">BIC CLIC MED RED </t>
  </si>
  <si>
    <t>AS099</t>
  </si>
  <si>
    <t xml:space="preserve">BIC CLIC FINE BLUE </t>
  </si>
  <si>
    <t>AS100</t>
  </si>
  <si>
    <t xml:space="preserve">PILOT BPS MED BLUE </t>
  </si>
  <si>
    <t>AS101</t>
  </si>
  <si>
    <t>PILOT BPS MED BLACK</t>
  </si>
  <si>
    <t>AS102</t>
  </si>
  <si>
    <t xml:space="preserve">PILOT BPS MEDIUM RED </t>
  </si>
  <si>
    <t>AS103</t>
  </si>
  <si>
    <t xml:space="preserve">PILOT BPS MEDIUM GREEN </t>
  </si>
  <si>
    <t>AS104</t>
  </si>
  <si>
    <t>PILOT BPS MEDIUM VIOLET</t>
  </si>
  <si>
    <t>AS105</t>
  </si>
  <si>
    <t xml:space="preserve">PILOT BPS MEDIUM PINK </t>
  </si>
  <si>
    <t>AS106</t>
  </si>
  <si>
    <t xml:space="preserve">PILOT BPS FINE BLUE </t>
  </si>
  <si>
    <t>AS107</t>
  </si>
  <si>
    <t xml:space="preserve">PILOT BPS FINE BLACK </t>
  </si>
  <si>
    <t>AS108</t>
  </si>
  <si>
    <t>FRIXION CLICKER BLACK</t>
  </si>
  <si>
    <t>AS109</t>
  </si>
  <si>
    <t xml:space="preserve">FRIXION CLICKER LIGHT BLUE </t>
  </si>
  <si>
    <t>AS110</t>
  </si>
  <si>
    <t xml:space="preserve">FRIXION CLICKER GREEN </t>
  </si>
  <si>
    <t>AS111</t>
  </si>
  <si>
    <t>FRIXION CLICKER VIOLET</t>
  </si>
  <si>
    <t>AS112</t>
  </si>
  <si>
    <t xml:space="preserve">FRIXION CLICKER PINK </t>
  </si>
  <si>
    <t>AS113</t>
  </si>
  <si>
    <t xml:space="preserve">FRIXION CLICKER DARK BLUE </t>
  </si>
  <si>
    <t>AS114</t>
  </si>
  <si>
    <t xml:space="preserve">FRIXION CLICKER RED </t>
  </si>
  <si>
    <t>AS115</t>
  </si>
  <si>
    <t xml:space="preserve">PILOT BLG 2 BLUE  </t>
  </si>
  <si>
    <t>AS116</t>
  </si>
  <si>
    <t xml:space="preserve">PILOT BLG 2 BLACK </t>
  </si>
  <si>
    <t>AS117</t>
  </si>
  <si>
    <t xml:space="preserve">PILOT ACROBALL BLUE </t>
  </si>
  <si>
    <t>AS118</t>
  </si>
  <si>
    <t xml:space="preserve">PILOT ACROBALL BLACK </t>
  </si>
  <si>
    <t>AS119</t>
  </si>
  <si>
    <t xml:space="preserve">PILOT VB7 LIQUID R/BALL BLUE </t>
  </si>
  <si>
    <t>AS120</t>
  </si>
  <si>
    <t>PILOT VB7 LIQUID R/BALL BLACK</t>
  </si>
  <si>
    <t>AS121</t>
  </si>
  <si>
    <t xml:space="preserve">PILOT V PEN DISPOSABLE FOUNTAIN PEN BLUE </t>
  </si>
  <si>
    <t>AS122</t>
  </si>
  <si>
    <t xml:space="preserve">PILOT V PEN DISPOSABLE FOUNTAIN PEN BLACK  </t>
  </si>
  <si>
    <t>AS123</t>
  </si>
  <si>
    <t xml:space="preserve">PILOT BLG 207 WALLET 4 </t>
  </si>
  <si>
    <t>AS124</t>
  </si>
  <si>
    <t xml:space="preserve">PILOT BLG 207 WALLET 4  METALLIC </t>
  </si>
  <si>
    <t>AS125</t>
  </si>
  <si>
    <t xml:space="preserve">CROXLEY GEL PEN WALLET 6 </t>
  </si>
  <si>
    <t>AS126</t>
  </si>
  <si>
    <t>CROXLEY CREATE BALLPOINT PENS ASSORTED 10'S</t>
  </si>
  <si>
    <t>AS127</t>
  </si>
  <si>
    <t xml:space="preserve">PILOT V BALL GRIP BLUE </t>
  </si>
  <si>
    <t>AS128</t>
  </si>
  <si>
    <t xml:space="preserve">PILOT V BALL GRIP BLACK </t>
  </si>
  <si>
    <t>AS129</t>
  </si>
  <si>
    <t xml:space="preserve">PENTEL ENERGEL RETRACTABLE BLUE </t>
  </si>
  <si>
    <t>AS130</t>
  </si>
  <si>
    <t xml:space="preserve">PENTEL ENERGEL RETRACTABLE BLACK </t>
  </si>
  <si>
    <t>AS131</t>
  </si>
  <si>
    <t xml:space="preserve">PENTEL BK77 SUPERB BLUE </t>
  </si>
  <si>
    <t>AS132</t>
  </si>
  <si>
    <t xml:space="preserve">PENTEL BK77 SUPERB BLACK </t>
  </si>
  <si>
    <t>AS133</t>
  </si>
  <si>
    <t xml:space="preserve">PENTEL ENERGEL ROLLER BLUE </t>
  </si>
  <si>
    <t>AS134</t>
  </si>
  <si>
    <t xml:space="preserve">PENTEL ENERGEL ROLLER BLACK </t>
  </si>
  <si>
    <t>AS135</t>
  </si>
  <si>
    <t xml:space="preserve">STABILO CLIC SET 6 </t>
  </si>
  <si>
    <t>AS136</t>
  </si>
  <si>
    <t>NORIS BALL PEN SET 10</t>
  </si>
  <si>
    <t>AS137</t>
  </si>
  <si>
    <t>STABILO CLIC BLUE</t>
  </si>
  <si>
    <t>AS138</t>
  </si>
  <si>
    <t xml:space="preserve">STABILO CLIC BLACK </t>
  </si>
  <si>
    <t>AS139</t>
  </si>
  <si>
    <t xml:space="preserve">UNICLIC GEL 0.7 BLUE </t>
  </si>
  <si>
    <t>AS140</t>
  </si>
  <si>
    <t>UNICLIC GEL 0.7 BLACK</t>
  </si>
  <si>
    <t>AS141</t>
  </si>
  <si>
    <t>TREELINE LARGE ERASER</t>
  </si>
  <si>
    <t>AS142</t>
  </si>
  <si>
    <t xml:space="preserve">FABER CASTELL ERASER LARGE </t>
  </si>
  <si>
    <t>AS143</t>
  </si>
  <si>
    <t xml:space="preserve">PENTEL CORRECTION TAPE </t>
  </si>
  <si>
    <t>AS144</t>
  </si>
  <si>
    <t xml:space="preserve">PILOT ERASER LARGE </t>
  </si>
  <si>
    <t>AS145</t>
  </si>
  <si>
    <t>CORRECTION TAPE</t>
  </si>
  <si>
    <t>AS146</t>
  </si>
  <si>
    <t xml:space="preserve">RETRACTABLE ERASER </t>
  </si>
  <si>
    <t>AS147</t>
  </si>
  <si>
    <t>PENTEL CORRECTION PEN</t>
  </si>
  <si>
    <t>AS148</t>
  </si>
  <si>
    <t xml:space="preserve">CORRECTION FLUID </t>
  </si>
  <si>
    <t>AS149</t>
  </si>
  <si>
    <t>DELI CORRECTION PEN</t>
  </si>
  <si>
    <t>AS150</t>
  </si>
  <si>
    <t xml:space="preserve">PENGUIN CORRECTION PEN 12ML </t>
  </si>
  <si>
    <t>AS151</t>
  </si>
  <si>
    <t>FIBRE TIP PEN 12</t>
  </si>
  <si>
    <t>AS152</t>
  </si>
  <si>
    <t>FIBRE TIP PEN 24</t>
  </si>
  <si>
    <t>AS153</t>
  </si>
  <si>
    <t>FIBRE TIP PEN JUMBO 8</t>
  </si>
  <si>
    <t>AS154</t>
  </si>
  <si>
    <t>CARIOCA FELT TIPPED SET 12</t>
  </si>
  <si>
    <t>AS155</t>
  </si>
  <si>
    <t>CARIOCA JUMBO SET SET 12</t>
  </si>
  <si>
    <t>AS156</t>
  </si>
  <si>
    <t xml:space="preserve">CARIOCA FINE SET 18 </t>
  </si>
  <si>
    <t>AS157</t>
  </si>
  <si>
    <t>CROXLEY FIBRE TIP 12</t>
  </si>
  <si>
    <t>AS158</t>
  </si>
  <si>
    <t>CROXLEY FIBRE TIP 24</t>
  </si>
  <si>
    <t>AS159</t>
  </si>
  <si>
    <t xml:space="preserve">PERMANENT MARKER BLUE </t>
  </si>
  <si>
    <t>AS160</t>
  </si>
  <si>
    <t>PERMANENT MARKER RED</t>
  </si>
  <si>
    <t>AS161</t>
  </si>
  <si>
    <t>PERMANENT MARKER BLACK</t>
  </si>
  <si>
    <t>AS162</t>
  </si>
  <si>
    <t xml:space="preserve">HIGHLIGHTER GREEN </t>
  </si>
  <si>
    <t>AS163</t>
  </si>
  <si>
    <t>HIGHLIGHTER ORANGE</t>
  </si>
  <si>
    <t>AS164</t>
  </si>
  <si>
    <t xml:space="preserve">HIGHLIGHTER PINK </t>
  </si>
  <si>
    <t>AS165</t>
  </si>
  <si>
    <t xml:space="preserve">HIGHLIGHTER YELLOW </t>
  </si>
  <si>
    <t>AS166</t>
  </si>
  <si>
    <t>HIGHLIGHTER WALLET 4</t>
  </si>
  <si>
    <t>AS167</t>
  </si>
  <si>
    <t xml:space="preserve">HIGHLIGHTER WALLET 4 SLIMLINE </t>
  </si>
  <si>
    <t>AS168</t>
  </si>
  <si>
    <t xml:space="preserve">PILOT FINELINER BLACK </t>
  </si>
  <si>
    <t>AS169</t>
  </si>
  <si>
    <t xml:space="preserve">PILOT FINELINER RED </t>
  </si>
  <si>
    <t>AS170</t>
  </si>
  <si>
    <t xml:space="preserve">PILOT FINELINER BLUE </t>
  </si>
  <si>
    <t>AS171</t>
  </si>
  <si>
    <t xml:space="preserve">PILOT FINELINER GREEN </t>
  </si>
  <si>
    <t>AS172</t>
  </si>
  <si>
    <t xml:space="preserve">FINELINER BLACK </t>
  </si>
  <si>
    <t>AS173</t>
  </si>
  <si>
    <t>FINELINER RED</t>
  </si>
  <si>
    <t>AS174</t>
  </si>
  <si>
    <t xml:space="preserve">FINELINER BLUE </t>
  </si>
  <si>
    <t>AS175</t>
  </si>
  <si>
    <t xml:space="preserve">FINELINER GREEN </t>
  </si>
  <si>
    <t>AS176</t>
  </si>
  <si>
    <t>CROXLEY FINELINERS ASSRTD-SET OF 12</t>
  </si>
  <si>
    <t>AS177</t>
  </si>
  <si>
    <t xml:space="preserve"> PERM MARKER BULLET SET 4 </t>
  </si>
  <si>
    <t>AS178</t>
  </si>
  <si>
    <t>CHISEL MARKER SET 4</t>
  </si>
  <si>
    <t>AS179</t>
  </si>
  <si>
    <t>LAUNDRY MARKER BLACK</t>
  </si>
  <si>
    <t>AS180</t>
  </si>
  <si>
    <t>LUXOR PERMANENT MARKER BLACK</t>
  </si>
  <si>
    <t>AS181</t>
  </si>
  <si>
    <t>HB PENCIL BOX 12</t>
  </si>
  <si>
    <t>AS182</t>
  </si>
  <si>
    <t xml:space="preserve">STAEDTLER HB PENCIL </t>
  </si>
  <si>
    <t>AS183</t>
  </si>
  <si>
    <t xml:space="preserve">STAEDTLER PENCIL HB </t>
  </si>
  <si>
    <t>AS184</t>
  </si>
  <si>
    <t>STAEDTLER PENCIL B</t>
  </si>
  <si>
    <t>AS185</t>
  </si>
  <si>
    <t>STAEDTLER PENCIL 2B</t>
  </si>
  <si>
    <t>AS186</t>
  </si>
  <si>
    <t xml:space="preserve">STAEDTLER PENCIL 3B </t>
  </si>
  <si>
    <t>AS187</t>
  </si>
  <si>
    <t>STAEDTLER PENCIL 4B</t>
  </si>
  <si>
    <t>AS188</t>
  </si>
  <si>
    <t>STAEDTLER PENCIL 5B</t>
  </si>
  <si>
    <t>AS189</t>
  </si>
  <si>
    <t>STAEDTLER PENCIL 6B</t>
  </si>
  <si>
    <t>AS190</t>
  </si>
  <si>
    <t xml:space="preserve">STAEDTLER PENCIL H </t>
  </si>
  <si>
    <t>AS191</t>
  </si>
  <si>
    <t>STAEDTLER PENCIL 2H</t>
  </si>
  <si>
    <t>AS192</t>
  </si>
  <si>
    <t xml:space="preserve">STAEDTLER PENCIL 3H </t>
  </si>
  <si>
    <t>AS193</t>
  </si>
  <si>
    <t xml:space="preserve">STAEDTLER PENCIL 4H </t>
  </si>
  <si>
    <t>AS194</t>
  </si>
  <si>
    <t xml:space="preserve">STAEDTLER PENCIL 5H </t>
  </si>
  <si>
    <t>AS195</t>
  </si>
  <si>
    <t xml:space="preserve">STAEDTLER PENCIL 6H </t>
  </si>
  <si>
    <t>AS196</t>
  </si>
  <si>
    <t xml:space="preserve">CROXLEY PENCIL HB </t>
  </si>
  <si>
    <t>AS197</t>
  </si>
  <si>
    <t xml:space="preserve">CROXLEY PENCIL B </t>
  </si>
  <si>
    <t>AS198</t>
  </si>
  <si>
    <t>CROXLEY PENCIL 2B</t>
  </si>
  <si>
    <t>AS199</t>
  </si>
  <si>
    <t>CROXLEY PENCIL 3B</t>
  </si>
  <si>
    <t>AS200</t>
  </si>
  <si>
    <t>CROXLEY PENCIL 4B</t>
  </si>
  <si>
    <t>AS201</t>
  </si>
  <si>
    <t xml:space="preserve">CROXLEY PENCIL 5B </t>
  </si>
  <si>
    <t>AS202</t>
  </si>
  <si>
    <t>CROXLEY PENCIL 6B</t>
  </si>
  <si>
    <t>AS203</t>
  </si>
  <si>
    <t>CROXLEY H PENCIL</t>
  </si>
  <si>
    <t>AS204</t>
  </si>
  <si>
    <t xml:space="preserve">CROXLEY 2H PENCIL </t>
  </si>
  <si>
    <t>AS205</t>
  </si>
  <si>
    <t>CROXLEY 3H PENCIL</t>
  </si>
  <si>
    <t>AS206</t>
  </si>
  <si>
    <t xml:space="preserve">CROXLEY 4H PENCIL </t>
  </si>
  <si>
    <t>AS207</t>
  </si>
  <si>
    <t xml:space="preserve">CROXLEY 5H PENCIL </t>
  </si>
  <si>
    <t>AS208</t>
  </si>
  <si>
    <t xml:space="preserve">CROXLEY 6H PENCIL </t>
  </si>
  <si>
    <t>AS209</t>
  </si>
  <si>
    <t>TRIANGULAR BEGINNERS PENCIL</t>
  </si>
  <si>
    <t>AS210</t>
  </si>
  <si>
    <t xml:space="preserve">STAEDTLER ERGOSOFT PENCIL </t>
  </si>
  <si>
    <t>AS211</t>
  </si>
  <si>
    <t xml:space="preserve">PENCIL GRIP TRIPOD </t>
  </si>
  <si>
    <t>AS212</t>
  </si>
  <si>
    <t xml:space="preserve">TRIANGULAR PENCIL GRIP </t>
  </si>
  <si>
    <t>AS213</t>
  </si>
  <si>
    <t xml:space="preserve">CLUTCH PENCIL </t>
  </si>
  <si>
    <t>AS214</t>
  </si>
  <si>
    <t>CLUTCH PENCIL HOTSHOTS 0.5</t>
  </si>
  <si>
    <t>AS215</t>
  </si>
  <si>
    <t>PILOT PROGREX CLUTCH PENCIL 0.5</t>
  </si>
  <si>
    <t>AS216</t>
  </si>
  <si>
    <t>PENCIL LEAD 0.5MM</t>
  </si>
  <si>
    <t>AS217</t>
  </si>
  <si>
    <t>REFILL LEAD HB 0.3MM</t>
  </si>
  <si>
    <t>AS218</t>
  </si>
  <si>
    <t>REFILL LEAD HB 0.5MM</t>
  </si>
  <si>
    <t>AS219</t>
  </si>
  <si>
    <t>PENTEL HI POLYMER REFILL LEAD 0.3 HB</t>
  </si>
  <si>
    <t>AS220</t>
  </si>
  <si>
    <t>PENTEL HI POLYMER REFILL LEAD 0.5 HB</t>
  </si>
  <si>
    <t>AS221</t>
  </si>
  <si>
    <t xml:space="preserve">PENTEL HI POLYMER REFILL LEAD 0.7HB </t>
  </si>
  <si>
    <t>AS222</t>
  </si>
  <si>
    <t>FABER CASTELL WAX CRAYON 12</t>
  </si>
  <si>
    <t>AS223</t>
  </si>
  <si>
    <t>FABER CASTELL WAX CRAYON 24</t>
  </si>
  <si>
    <t>AS224</t>
  </si>
  <si>
    <t>FABER CASTELL TRIANGULAR WAX 12</t>
  </si>
  <si>
    <t>AS225</t>
  </si>
  <si>
    <t>FABER CASTELL TRIANGULAR WAX 24</t>
  </si>
  <si>
    <t>AS226</t>
  </si>
  <si>
    <t>PRITT WAX CRAYON 12</t>
  </si>
  <si>
    <t>AS227</t>
  </si>
  <si>
    <t>PRITT WAX CRAYON 24</t>
  </si>
  <si>
    <t>AS228</t>
  </si>
  <si>
    <t>STAEDTLER WAX CRAYON 12</t>
  </si>
  <si>
    <t>AS229</t>
  </si>
  <si>
    <t>STAEDTLER WAX CRAYON 24</t>
  </si>
  <si>
    <t>AS230</t>
  </si>
  <si>
    <t>STAEDTLER WAX CRAYON JUMBO 9S</t>
  </si>
  <si>
    <t>AS231</t>
  </si>
  <si>
    <t>TREELINE WAX CRAYONS 12</t>
  </si>
  <si>
    <t>AS232</t>
  </si>
  <si>
    <t>TREELINE WAX CRAYONS 24</t>
  </si>
  <si>
    <t>AS233</t>
  </si>
  <si>
    <t>TREELINE JUMBO CRAYON 9S</t>
  </si>
  <si>
    <t>AS234</t>
  </si>
  <si>
    <t>ROLFES WAX CRAYONS 12</t>
  </si>
  <si>
    <t>AS235</t>
  </si>
  <si>
    <t>ROLFES WAX CRAYONS 24</t>
  </si>
  <si>
    <t>AS236</t>
  </si>
  <si>
    <t>CROXLEY TRIANGULAR COLOUR PENCIL 12</t>
  </si>
  <si>
    <t>AS237</t>
  </si>
  <si>
    <t>CROXLEY COLOUR PENCIL 12</t>
  </si>
  <si>
    <t>AS238</t>
  </si>
  <si>
    <t>CROXLEY COLOUR PENCIL 24</t>
  </si>
  <si>
    <t>AS239</t>
  </si>
  <si>
    <t>STABILO COLOURED PENCIL 12</t>
  </si>
  <si>
    <t>AS240</t>
  </si>
  <si>
    <t>STABILO AQUACOLOUR PENCIL 12</t>
  </si>
  <si>
    <t>AS241</t>
  </si>
  <si>
    <t>CROXLEY AQUARELLE CRAYONS 12</t>
  </si>
  <si>
    <t>AS242</t>
  </si>
  <si>
    <t>STABILO COLOURED PEN 24</t>
  </si>
  <si>
    <t>AS243</t>
  </si>
  <si>
    <t>MARLIN COLOUR PENCIL 12</t>
  </si>
  <si>
    <t>AS244</t>
  </si>
  <si>
    <t>MARLIN COLOUR PENCIL 24</t>
  </si>
  <si>
    <t>AS245</t>
  </si>
  <si>
    <t>MARLIN TRIANGULAR COLOUR PENCIL 12</t>
  </si>
  <si>
    <t>AS246</t>
  </si>
  <si>
    <t>STAEDTLER COLOUR PENCIL 12</t>
  </si>
  <si>
    <t>AS247</t>
  </si>
  <si>
    <t>STAEDTLER COLOUR PENCIL 24</t>
  </si>
  <si>
    <t>AS248</t>
  </si>
  <si>
    <t>TREELINE JUMBO BEGINNERS COLOUR PENCIL 12'S</t>
  </si>
  <si>
    <t>AS249</t>
  </si>
  <si>
    <t>FABER CASTELL COLOUR PENCILS 12'S</t>
  </si>
  <si>
    <t>AS250</t>
  </si>
  <si>
    <t>FABER CASTELL PENCIL CRAYON 24</t>
  </si>
  <si>
    <t>AS251</t>
  </si>
  <si>
    <t>CROXLEY TWISTER RETRACTABLES 12</t>
  </si>
  <si>
    <t>AS252</t>
  </si>
  <si>
    <t>TREELINE TWISTERS 12</t>
  </si>
  <si>
    <t>AS253</t>
  </si>
  <si>
    <t>MONAMI RETRACTABLE 12</t>
  </si>
  <si>
    <t>AS254</t>
  </si>
  <si>
    <t xml:space="preserve">FABER WAX TWISTERS 12 </t>
  </si>
  <si>
    <t>AS255</t>
  </si>
  <si>
    <t>PENGUIN OIL PASTEL 25</t>
  </si>
  <si>
    <t>AS256</t>
  </si>
  <si>
    <t>PENGUIN OIL PASTEL 16</t>
  </si>
  <si>
    <t>AS257</t>
  </si>
  <si>
    <t>PENTEL OIL PASTELS 16</t>
  </si>
  <si>
    <t>AS258</t>
  </si>
  <si>
    <t>PENTEL OIL PASTELS 25</t>
  </si>
  <si>
    <t>AS259</t>
  </si>
  <si>
    <t>TREELINE OIL PASTEL 12</t>
  </si>
  <si>
    <t>AS260</t>
  </si>
  <si>
    <t>TREELINE OIL PASTEL 24</t>
  </si>
  <si>
    <t>AS261</t>
  </si>
  <si>
    <t xml:space="preserve">STAEDTLER OIL PASTEL </t>
  </si>
  <si>
    <t>AS262</t>
  </si>
  <si>
    <t>PENTEL OIL PASTEL XXL 24</t>
  </si>
  <si>
    <t>AS263</t>
  </si>
  <si>
    <t xml:space="preserve">OXFORD SCHOOL WOORDEBOEK </t>
  </si>
  <si>
    <t>AS264</t>
  </si>
  <si>
    <t xml:space="preserve">OXFORD AFRIKAANS ENGLISH DICTIONARY </t>
  </si>
  <si>
    <t>AS265</t>
  </si>
  <si>
    <t>PHAROS TWEETALIGE SAKWOORDEBOEK</t>
  </si>
  <si>
    <t>AS266</t>
  </si>
  <si>
    <t>NUWE TWEETALIGE SAKWOORDEBOEK</t>
  </si>
  <si>
    <t>AS267</t>
  </si>
  <si>
    <t xml:space="preserve">PHAROS BEKNOPTE VERKLARENDE </t>
  </si>
  <si>
    <t>AS268</t>
  </si>
  <si>
    <t xml:space="preserve">PHAROS KLEIN WOORDEBOEK </t>
  </si>
  <si>
    <t>AS269</t>
  </si>
  <si>
    <t xml:space="preserve">OXFORD MINI TWEETALIGE WOORDBOEK </t>
  </si>
  <si>
    <t>AS270</t>
  </si>
  <si>
    <t xml:space="preserve">OXFORD PRIMARY DICTIONARY </t>
  </si>
  <si>
    <t>AS271</t>
  </si>
  <si>
    <t xml:space="preserve">SECONDARY SCHOOL DICTIONARY </t>
  </si>
  <si>
    <t>AS272</t>
  </si>
  <si>
    <t xml:space="preserve">MINI SCHOOL DICTIONARY </t>
  </si>
  <si>
    <t>AS273</t>
  </si>
  <si>
    <t xml:space="preserve">OXFORD SA SCHOOL DICTIONARY </t>
  </si>
  <si>
    <t>AS274</t>
  </si>
  <si>
    <t xml:space="preserve">SA ILLUSTRATED DICTIONARY </t>
  </si>
  <si>
    <t>AS275</t>
  </si>
  <si>
    <t xml:space="preserve">OXFORD SA POCKET DICTIONARY </t>
  </si>
  <si>
    <t>AS276</t>
  </si>
  <si>
    <t>OXFORD SA CONCISE DICTIONARY</t>
  </si>
  <si>
    <t>AS277</t>
  </si>
  <si>
    <t>SCHOLARS ZULU GR DENT DICTONARY</t>
  </si>
  <si>
    <t>AS278</t>
  </si>
  <si>
    <t xml:space="preserve">BILINGUAL ENGLISH ISIZULU </t>
  </si>
  <si>
    <t>AS279</t>
  </si>
  <si>
    <t xml:space="preserve">MINI SCHOOL THESAURUS </t>
  </si>
  <si>
    <t>AS280</t>
  </si>
  <si>
    <t xml:space="preserve">OXFORD PRIMARY ATLAS SA </t>
  </si>
  <si>
    <t>AS281</t>
  </si>
  <si>
    <t>OXFORD CODING &amp; ROBOTICS DICTIONARY</t>
  </si>
  <si>
    <t>AS282</t>
  </si>
  <si>
    <t>OXFORD SECONDARY ATLAS SA</t>
  </si>
  <si>
    <t>AS283</t>
  </si>
  <si>
    <t>TOILET ROLLS-PACK OF 10</t>
  </si>
  <si>
    <t>AS284</t>
  </si>
  <si>
    <t>SHUTERS MACMILLAN NEW ATLAS SA</t>
  </si>
  <si>
    <t>AS286</t>
  </si>
  <si>
    <t>HOMEWORK BOOK</t>
  </si>
  <si>
    <t>AS287</t>
  </si>
  <si>
    <t xml:space="preserve">A5 PAD DIARY HARD COVER </t>
  </si>
  <si>
    <t>AS288</t>
  </si>
  <si>
    <t xml:space="preserve">SHARP EL231LB BASIC 4 FUNCTION 8DIGIT </t>
  </si>
  <si>
    <t>AS289</t>
  </si>
  <si>
    <t xml:space="preserve">SHARP SCIENTIFIC CALCULATOR EL531WHB </t>
  </si>
  <si>
    <t>AS290</t>
  </si>
  <si>
    <t>SHARP EL-W535HT WRITE VIEW SCIENTIFIC CALCULATOR</t>
  </si>
  <si>
    <t>AS291</t>
  </si>
  <si>
    <t xml:space="preserve">CASIO FX 82ZA PLUS CALCULATOR </t>
  </si>
  <si>
    <t>AS293</t>
  </si>
  <si>
    <t xml:space="preserve">FX991ES PLUS CASIO ADVANCED </t>
  </si>
  <si>
    <t>AS295</t>
  </si>
  <si>
    <t xml:space="preserve">MARLIN 8 DIGIT CALCULATOR </t>
  </si>
  <si>
    <t>AS296</t>
  </si>
  <si>
    <t xml:space="preserve">MARLIN SCIENTIFIC CALCULATOR </t>
  </si>
  <si>
    <t>AS297</t>
  </si>
  <si>
    <t xml:space="preserve">BANTEX SHUTTLE PENCIL CASE 20CM LONG </t>
  </si>
  <si>
    <t>AS298</t>
  </si>
  <si>
    <t xml:space="preserve">BANTEX SHUTTLE PENCIL CASE 30CM LONG </t>
  </si>
  <si>
    <t>AS299</t>
  </si>
  <si>
    <t xml:space="preserve">MCCASEY 2 PENCIL BOX 30CM LONG </t>
  </si>
  <si>
    <t>AS300</t>
  </si>
  <si>
    <t xml:space="preserve">MCCASEY 3 PENCIL BOX 23CM LONG </t>
  </si>
  <si>
    <t>AS301</t>
  </si>
  <si>
    <t>KOKI PENCIL BAG ZIP 22CM</t>
  </si>
  <si>
    <t>AS302</t>
  </si>
  <si>
    <t>KOKI PENCIL BAG ZIP 33CM</t>
  </si>
  <si>
    <t>AS303</t>
  </si>
  <si>
    <t>TARTAN PENCIL CASE 20CM</t>
  </si>
  <si>
    <t>AS304</t>
  </si>
  <si>
    <t>TARTAN PENCIL CASE 34CM</t>
  </si>
  <si>
    <t>AS305</t>
  </si>
  <si>
    <t>DENIM PENCIL CASE 20CM</t>
  </si>
  <si>
    <t>AS306</t>
  </si>
  <si>
    <t>DENIM PENCIL CASE 24CM</t>
  </si>
  <si>
    <t>AS307</t>
  </si>
  <si>
    <t xml:space="preserve">15CM CLEAR RULER </t>
  </si>
  <si>
    <t>AS308</t>
  </si>
  <si>
    <t xml:space="preserve">PARROT FLEXI-GRIP RULER </t>
  </si>
  <si>
    <t>AS309</t>
  </si>
  <si>
    <t xml:space="preserve">30CM CLEAR SHATTERPROOF RULER </t>
  </si>
  <si>
    <t>AS310</t>
  </si>
  <si>
    <t xml:space="preserve">30CM COLOUR SHATTERPROOF RULER </t>
  </si>
  <si>
    <t>AS311</t>
  </si>
  <si>
    <t xml:space="preserve">PLASTIC LETTERING STENCIL </t>
  </si>
  <si>
    <t>AS312</t>
  </si>
  <si>
    <t>PVC MEASURING TAPE 150CM</t>
  </si>
  <si>
    <t>AS313</t>
  </si>
  <si>
    <t xml:space="preserve">AMBIDEXTEROUS HANDLE SCISSOR </t>
  </si>
  <si>
    <t>AS314</t>
  </si>
  <si>
    <t>KID SCISSORS BLUNT NOSE 130MM</t>
  </si>
  <si>
    <t>AS315</t>
  </si>
  <si>
    <t>JUNIOR TRAINING SCISSORS 4 FINGER GRIP</t>
  </si>
  <si>
    <t>AS316</t>
  </si>
  <si>
    <t>TORTOISE SHELL SCISSOR 165MM</t>
  </si>
  <si>
    <t>AS317</t>
  </si>
  <si>
    <t>SCISSORS LEFT HANDED 167MM</t>
  </si>
  <si>
    <t>AS318</t>
  </si>
  <si>
    <t>STUDENT SCISSORS 165MM</t>
  </si>
  <si>
    <t>AS319</t>
  </si>
  <si>
    <t>TORTOISE SHELL SCISSORS 210MM</t>
  </si>
  <si>
    <t>AS320</t>
  </si>
  <si>
    <t xml:space="preserve">TREELINE H/S STAPLER </t>
  </si>
  <si>
    <t>AS321</t>
  </si>
  <si>
    <t>STAPLE REMOVER</t>
  </si>
  <si>
    <t>AS322</t>
  </si>
  <si>
    <t xml:space="preserve">26/6 STAPLES </t>
  </si>
  <si>
    <t>AS323</t>
  </si>
  <si>
    <t>AS324</t>
  </si>
  <si>
    <t>AS325</t>
  </si>
  <si>
    <t xml:space="preserve">CONTAINER SHARPENER ONE HOLE </t>
  </si>
  <si>
    <t>AS326</t>
  </si>
  <si>
    <t xml:space="preserve">FABER CASTELL PENCIL SHARPENER WITH SHAVING HOLDER </t>
  </si>
  <si>
    <t>AS327</t>
  </si>
  <si>
    <t xml:space="preserve">GENMES DESK SHARPENER </t>
  </si>
  <si>
    <t>AS328</t>
  </si>
  <si>
    <t xml:space="preserve">CROXLEY DOUBLE HOLE SHARPENER </t>
  </si>
  <si>
    <t>AS329</t>
  </si>
  <si>
    <t xml:space="preserve">PUNCH 25 SHEETS </t>
  </si>
  <si>
    <t>AS330</t>
  </si>
  <si>
    <t xml:space="preserve">STUDENT PUNCH 20 SHEET </t>
  </si>
  <si>
    <t>AS331</t>
  </si>
  <si>
    <t xml:space="preserve">CROXLEY SINGLE HOLE SHARPENER </t>
  </si>
  <si>
    <t>AS332</t>
  </si>
  <si>
    <t>A4 PP 2 R BINDER 25MM BLACK</t>
  </si>
  <si>
    <t>AS333</t>
  </si>
  <si>
    <t xml:space="preserve">A4 PP 2 R BINDER 25MM BLUE </t>
  </si>
  <si>
    <t>AS334</t>
  </si>
  <si>
    <t>A4 PP 2 R BINDER 25MM RED</t>
  </si>
  <si>
    <t>AS335</t>
  </si>
  <si>
    <t xml:space="preserve">A4 PP 2 R BINDER 25MM GREEN </t>
  </si>
  <si>
    <t>AS336</t>
  </si>
  <si>
    <t xml:space="preserve">TREELINE 10 POCKET </t>
  </si>
  <si>
    <t>AS337</t>
  </si>
  <si>
    <t xml:space="preserve">TREELINE 20 POCKET </t>
  </si>
  <si>
    <t>AS338</t>
  </si>
  <si>
    <t xml:space="preserve">TREELINE 30 POCKET </t>
  </si>
  <si>
    <t>AS339</t>
  </si>
  <si>
    <t>TREELINE 40 POCKET</t>
  </si>
  <si>
    <t>AS340</t>
  </si>
  <si>
    <t xml:space="preserve">TREELINE 50 POCKET </t>
  </si>
  <si>
    <t>AS341</t>
  </si>
  <si>
    <t xml:space="preserve">A4 TRUNK BOARD 2R BINER 25MM BLACK </t>
  </si>
  <si>
    <t>AS342</t>
  </si>
  <si>
    <t>A4 TRUNK BOARD 2R BINER 25MM BLUE</t>
  </si>
  <si>
    <t>AS343</t>
  </si>
  <si>
    <t>A4 TRUNK BOARD 2R BINER 25MM RED</t>
  </si>
  <si>
    <t>AS344</t>
  </si>
  <si>
    <t xml:space="preserve">A4 TRUNK BOARD 2R BINER 25MM GREEN </t>
  </si>
  <si>
    <t>AS345</t>
  </si>
  <si>
    <t xml:space="preserve">A4 POLYPROP LEVER ARCH FILE BLACK </t>
  </si>
  <si>
    <t>AS346</t>
  </si>
  <si>
    <t>A4 POLYPROP LEVER ARCH FILE RED</t>
  </si>
  <si>
    <t>AS347</t>
  </si>
  <si>
    <t xml:space="preserve">A4 POLYPROP LEVER ARCH FILES BLUE </t>
  </si>
  <si>
    <t>AS348</t>
  </si>
  <si>
    <t xml:space="preserve">A4 POLYPROP LEVER ARCH FILES GREEN </t>
  </si>
  <si>
    <t>AS349</t>
  </si>
  <si>
    <t>A4 LEVER ARCH FILE WIDE SPINE 70MM</t>
  </si>
  <si>
    <t>AS350</t>
  </si>
  <si>
    <t>A4 LEVER ARCH FILE NARROW SPINE 40MM</t>
  </si>
  <si>
    <t>AS351</t>
  </si>
  <si>
    <t xml:space="preserve">EXPANDING PVC FILE </t>
  </si>
  <si>
    <t>AS352</t>
  </si>
  <si>
    <t xml:space="preserve">A4 FLIP FILE 10 POCKET </t>
  </si>
  <si>
    <t>AS353</t>
  </si>
  <si>
    <t>A4 FLIP FILE 20 POCKET</t>
  </si>
  <si>
    <t>AS354</t>
  </si>
  <si>
    <t>A4 FLIP FILE 30 POCKET</t>
  </si>
  <si>
    <t>AS355</t>
  </si>
  <si>
    <t>A4 FLIP FILE 40 POCKET</t>
  </si>
  <si>
    <t>AS356</t>
  </si>
  <si>
    <t>A4 FLIP FILE 50 POCKET</t>
  </si>
  <si>
    <t>AS357</t>
  </si>
  <si>
    <t>A3 FLIP FILE 10 POCKET</t>
  </si>
  <si>
    <t>AS358</t>
  </si>
  <si>
    <t>A3 FLIP FILE 20 POCKET</t>
  </si>
  <si>
    <t>AS359</t>
  </si>
  <si>
    <t>BUTTERFLY 10 POCKET FILE</t>
  </si>
  <si>
    <t>AS360</t>
  </si>
  <si>
    <t>BUTTERFLY 20 POCKET FILE</t>
  </si>
  <si>
    <t>AS361</t>
  </si>
  <si>
    <t>BUTTERFLY 30 POCKET FILE</t>
  </si>
  <si>
    <t>AS362</t>
  </si>
  <si>
    <t>BUTTERFLY 40 POCKET FILE</t>
  </si>
  <si>
    <t>AS363</t>
  </si>
  <si>
    <t>BUTTERFLY 50 POCKET FILE</t>
  </si>
  <si>
    <t>AS364</t>
  </si>
  <si>
    <t xml:space="preserve">PRESENTATION FOLDER BLACK </t>
  </si>
  <si>
    <t>AS365</t>
  </si>
  <si>
    <t>PRESENTATION FOLDER RED</t>
  </si>
  <si>
    <t>AS366</t>
  </si>
  <si>
    <t xml:space="preserve">PRESENTATION FOLDER ORANGE </t>
  </si>
  <si>
    <t>AS367</t>
  </si>
  <si>
    <t>PRESENTATION FOLDER YELLOW</t>
  </si>
  <si>
    <t>AS368</t>
  </si>
  <si>
    <t xml:space="preserve">PRESENTATION FOLDER BLUE </t>
  </si>
  <si>
    <t>AS369</t>
  </si>
  <si>
    <t xml:space="preserve">PRESENTATION FOLDER GREEN </t>
  </si>
  <si>
    <t>AS370</t>
  </si>
  <si>
    <t xml:space="preserve">PRESENTATION FOLDER LIGHT BLUE  </t>
  </si>
  <si>
    <t>AS371</t>
  </si>
  <si>
    <t>A4 ACCESSIBLE FILE WITH SPRING CLIP MECHANISM</t>
  </si>
  <si>
    <t>AS372</t>
  </si>
  <si>
    <t xml:space="preserve">A3 CARRY FOLDER </t>
  </si>
  <si>
    <t>AS373</t>
  </si>
  <si>
    <t xml:space="preserve">A4 PVC CARRY FOLDER </t>
  </si>
  <si>
    <t>AS374</t>
  </si>
  <si>
    <t>PLASTIC POCKETS PACK OF 10</t>
  </si>
  <si>
    <t>AS375</t>
  </si>
  <si>
    <t>BOARD DIVIDERS SET 5</t>
  </si>
  <si>
    <t>AS376</t>
  </si>
  <si>
    <t>BOARD DIVIDERS SET 10</t>
  </si>
  <si>
    <t>AS377</t>
  </si>
  <si>
    <t xml:space="preserve">PP DIVIDERS SET 5 </t>
  </si>
  <si>
    <t>AS378</t>
  </si>
  <si>
    <t xml:space="preserve">PP DIVIDERS SET 10 </t>
  </si>
  <si>
    <t>AS379</t>
  </si>
  <si>
    <t xml:space="preserve">A4 PP CLIPBOARD </t>
  </si>
  <si>
    <t>AS380</t>
  </si>
  <si>
    <t xml:space="preserve">RING REINFORCEMENTS </t>
  </si>
  <si>
    <t>AS381</t>
  </si>
  <si>
    <t>A3 BASIC DRAWING BOARD</t>
  </si>
  <si>
    <t>AS382</t>
  </si>
  <si>
    <t xml:space="preserve">A3 STUDENT DRAWING BOARD </t>
  </si>
  <si>
    <t>AS383</t>
  </si>
  <si>
    <t xml:space="preserve">A3 FULL HOUSE DRAWING BOARD WITH DOUBLE LOCK </t>
  </si>
  <si>
    <t>AS384</t>
  </si>
  <si>
    <t>10CM PROTRACTOR 180 DEGREE</t>
  </si>
  <si>
    <t>AS385</t>
  </si>
  <si>
    <t>15CM PROTRACTOR 180 DEGREE</t>
  </si>
  <si>
    <t>AS386</t>
  </si>
  <si>
    <t xml:space="preserve">45 DEGREE SET SQUARE 260MM </t>
  </si>
  <si>
    <t>AS387</t>
  </si>
  <si>
    <t xml:space="preserve">60 DEGREE SET SQUARE 260MM </t>
  </si>
  <si>
    <t>AS388</t>
  </si>
  <si>
    <t xml:space="preserve">DRAWING BOARD BAG </t>
  </si>
  <si>
    <t>AS389</t>
  </si>
  <si>
    <t>360 DEGREE PROTRACTOR 12CM</t>
  </si>
  <si>
    <t>AS390</t>
  </si>
  <si>
    <t xml:space="preserve">PADDED TECHNICAL DRAWING BOARD BAG </t>
  </si>
  <si>
    <t>AS391</t>
  </si>
  <si>
    <t xml:space="preserve">FABER CASTELL COMPASS DIVIDER 190MM ULTRA </t>
  </si>
  <si>
    <t>AS392</t>
  </si>
  <si>
    <t xml:space="preserve">HELIX QUICK RELEASE COMPASS </t>
  </si>
  <si>
    <t>AS393</t>
  </si>
  <si>
    <t xml:space="preserve">MAPED SPRINGBOW COMPASS WITH EXTENSION </t>
  </si>
  <si>
    <t>AS394</t>
  </si>
  <si>
    <t xml:space="preserve">MAPED STOP SYSTEM COMPASS CLAMPS OPEN </t>
  </si>
  <si>
    <t>AS395</t>
  </si>
  <si>
    <t xml:space="preserve">PRECISION COMPASS WITH EXTENSION AND DIVIDER </t>
  </si>
  <si>
    <t>AS396</t>
  </si>
  <si>
    <t xml:space="preserve">COMPASS SPRINGBOW WITH EXTENSION SET </t>
  </si>
  <si>
    <t>AS397</t>
  </si>
  <si>
    <t xml:space="preserve">PRECISION COMPASS </t>
  </si>
  <si>
    <t>AS398</t>
  </si>
  <si>
    <t xml:space="preserve">COMPASS QUICK BOW WITH EXTENSION SET </t>
  </si>
  <si>
    <t>AS399</t>
  </si>
  <si>
    <t xml:space="preserve">KIDS ART APRON STANDARD  </t>
  </si>
  <si>
    <t>AS400</t>
  </si>
  <si>
    <t xml:space="preserve">KIDDIES ART APRON DOUBLE SIDED </t>
  </si>
  <si>
    <t>AS401</t>
  </si>
  <si>
    <t xml:space="preserve">45CM T SQUARE </t>
  </si>
  <si>
    <t>AS402</t>
  </si>
  <si>
    <t xml:space="preserve">50CM FLEXI CURVE </t>
  </si>
  <si>
    <t>AS403</t>
  </si>
  <si>
    <t xml:space="preserve">PILOT 0.3 TECHNICAL CLUTCH PENCIL </t>
  </si>
  <si>
    <t>AS404</t>
  </si>
  <si>
    <t xml:space="preserve">CIRCLE TEMPLATE </t>
  </si>
  <si>
    <t>AS405</t>
  </si>
  <si>
    <t xml:space="preserve">CHEMISTRY STENCIL LARGE </t>
  </si>
  <si>
    <t>AS406</t>
  </si>
  <si>
    <t xml:space="preserve">ERASING SHIELD </t>
  </si>
  <si>
    <t>AS407</t>
  </si>
  <si>
    <t>FRENCH CURVE SET OF 3</t>
  </si>
  <si>
    <t>AS408</t>
  </si>
  <si>
    <t xml:space="preserve">TRIANGULAR SCALE RULER </t>
  </si>
  <si>
    <t>AS409</t>
  </si>
  <si>
    <t xml:space="preserve">FLAT SCALE RULER </t>
  </si>
  <si>
    <t>AS410</t>
  </si>
  <si>
    <t>NUT AND BOLT TEMPLATE</t>
  </si>
  <si>
    <t>AS411</t>
  </si>
  <si>
    <t xml:space="preserve">RADIUS CURVE TEMPLATE </t>
  </si>
  <si>
    <t>AS412</t>
  </si>
  <si>
    <t xml:space="preserve">SANDBLOCK FABER CASTELL </t>
  </si>
  <si>
    <t>AS413</t>
  </si>
  <si>
    <t xml:space="preserve">CROXLEY MATHS SET </t>
  </si>
  <si>
    <t>AS414</t>
  </si>
  <si>
    <t xml:space="preserve">OXFORD MATHS SET </t>
  </si>
  <si>
    <t>AS415</t>
  </si>
  <si>
    <t xml:space="preserve">BLUE BOX MATHS SET </t>
  </si>
  <si>
    <t>AS416</t>
  </si>
  <si>
    <t xml:space="preserve">FLARD CARD </t>
  </si>
  <si>
    <t>AS417</t>
  </si>
  <si>
    <t xml:space="preserve">ABACUS 120BEAD </t>
  </si>
  <si>
    <t>AS418</t>
  </si>
  <si>
    <t>PAINT BRUSH NO.1</t>
  </si>
  <si>
    <t>AS419</t>
  </si>
  <si>
    <t>PAINT BRUSH NO.5</t>
  </si>
  <si>
    <t>AS420</t>
  </si>
  <si>
    <t>PAINT BRSUH NO.8</t>
  </si>
  <si>
    <t>AS421</t>
  </si>
  <si>
    <t>PAINT BRUSH NO.6</t>
  </si>
  <si>
    <t>AS422</t>
  </si>
  <si>
    <t>PAINT BRUSH NO.10 FLAT</t>
  </si>
  <si>
    <t>AS423</t>
  </si>
  <si>
    <t>PAINT BRUSH NO.10 ROUND</t>
  </si>
  <si>
    <t>AS424</t>
  </si>
  <si>
    <t>AS425</t>
  </si>
  <si>
    <t xml:space="preserve">ARTISTIC PAINT PALLETTE </t>
  </si>
  <si>
    <t>AS426</t>
  </si>
  <si>
    <t xml:space="preserve">TEDDY CHUBBY PASTELS </t>
  </si>
  <si>
    <t>AS427</t>
  </si>
  <si>
    <t>POSTER PAINT SET 6</t>
  </si>
  <si>
    <t>AS428</t>
  </si>
  <si>
    <t>ACRYLIC PAINT SET 5</t>
  </si>
  <si>
    <t>AS429</t>
  </si>
  <si>
    <t>JOVI TERACOTTA PASTE</t>
  </si>
  <si>
    <t>AS430</t>
  </si>
  <si>
    <t xml:space="preserve">JOVI WHITE PASTE </t>
  </si>
  <si>
    <t>AS431</t>
  </si>
  <si>
    <t xml:space="preserve">A4 80GSM PAPER BRIGHT 100 </t>
  </si>
  <si>
    <t>AS432</t>
  </si>
  <si>
    <t xml:space="preserve">A4 80GSM PAPER PASTELS  100 </t>
  </si>
  <si>
    <t>AS433</t>
  </si>
  <si>
    <t>A4 80GSM PAPER FLUORESCENT 50</t>
  </si>
  <si>
    <t>AS434</t>
  </si>
  <si>
    <t>A4 160GSM BOARD BRIGHT 50</t>
  </si>
  <si>
    <t>AS435</t>
  </si>
  <si>
    <t>A4 160GSM BOARD PASTEL 50</t>
  </si>
  <si>
    <t>AS436</t>
  </si>
  <si>
    <t xml:space="preserve">A4 160GSM WHITE BOARD 50 </t>
  </si>
  <si>
    <t>AS437</t>
  </si>
  <si>
    <t>A4 160GSM BLACK BOARD 50</t>
  </si>
  <si>
    <t>AS438</t>
  </si>
  <si>
    <t>A4 160GSM BOARD FLUORESCENT 25</t>
  </si>
  <si>
    <t>AS439</t>
  </si>
  <si>
    <t xml:space="preserve">A2 160GSM BOARD ASS/COL PK 5 </t>
  </si>
  <si>
    <t>AS440</t>
  </si>
  <si>
    <t>A3 BLACK 160GSM BOARD PAD 20</t>
  </si>
  <si>
    <t>AS441</t>
  </si>
  <si>
    <t>A3 BRIGHT 160GSM BOARD PAD 20</t>
  </si>
  <si>
    <t>AS442</t>
  </si>
  <si>
    <t>A3 PASTEL 160GSM BOARD PAD 20</t>
  </si>
  <si>
    <t>AS443</t>
  </si>
  <si>
    <t xml:space="preserve">COLOURING BOOK 240 PAGE </t>
  </si>
  <si>
    <t>AS444</t>
  </si>
  <si>
    <t xml:space="preserve">COLOURING BOOK 48 PAGE </t>
  </si>
  <si>
    <t>AS445</t>
  </si>
  <si>
    <t xml:space="preserve">JUMBO COLOURING BOOK 304 PAGE </t>
  </si>
  <si>
    <t>AS446</t>
  </si>
  <si>
    <t>TREELINE PLAY DOUGH SET 5 500G</t>
  </si>
  <si>
    <t>AS447</t>
  </si>
  <si>
    <t>PLAY DOUGH 500G</t>
  </si>
  <si>
    <t>AS448</t>
  </si>
  <si>
    <t xml:space="preserve">MARLIN PLAY DOUGH SET 4 </t>
  </si>
  <si>
    <t>AS449</t>
  </si>
  <si>
    <t xml:space="preserve">GUMMED PAPER SQUARES 20 SHEET </t>
  </si>
  <si>
    <t>AS450</t>
  </si>
  <si>
    <t xml:space="preserve">CRAFT KNIFE </t>
  </si>
  <si>
    <t>AS451</t>
  </si>
  <si>
    <t xml:space="preserve">WATER COLOUR PAINTS 12 COLOUR </t>
  </si>
  <si>
    <t>AS452</t>
  </si>
  <si>
    <t xml:space="preserve">CROXLEY WATER PAINT SET 12 </t>
  </si>
  <si>
    <t>AS453</t>
  </si>
  <si>
    <t>CROXLEY WATER PAINT SET 21</t>
  </si>
  <si>
    <t>AS454</t>
  </si>
  <si>
    <t xml:space="preserve">VERBATIM 16GB </t>
  </si>
  <si>
    <t>AS455</t>
  </si>
  <si>
    <t xml:space="preserve">VERBATIM CD-R 700MB 80  MIN </t>
  </si>
  <si>
    <t>AS456</t>
  </si>
  <si>
    <t>VERBATIM CD-R 700MB SPINDLE 25</t>
  </si>
  <si>
    <t>AS457</t>
  </si>
  <si>
    <t xml:space="preserve">VERBATIM CD- REWRITABLE </t>
  </si>
  <si>
    <t>AS458</t>
  </si>
  <si>
    <t xml:space="preserve">CD SLEEVES PACK 50 VERBATIM  </t>
  </si>
  <si>
    <t>AS459</t>
  </si>
  <si>
    <t>VERBATIM DVD+R PRINTABLE  PK 10</t>
  </si>
  <si>
    <t>AS460</t>
  </si>
  <si>
    <t xml:space="preserve">A4 WHITEBOARD </t>
  </si>
  <si>
    <t>AS461</t>
  </si>
  <si>
    <t xml:space="preserve">A4 WHITEBOARD/CHALKBOARD DOUBLE SIDED </t>
  </si>
  <si>
    <t>AS462</t>
  </si>
  <si>
    <t>WHITEBOARD DUSTER COMPACT SZIE</t>
  </si>
  <si>
    <t>AS463</t>
  </si>
  <si>
    <t xml:space="preserve">W/B MARKERS WALLET 4 SLIMLINE </t>
  </si>
  <si>
    <t>AS464</t>
  </si>
  <si>
    <t>W/B MARKER BLACK</t>
  </si>
  <si>
    <t>AS465</t>
  </si>
  <si>
    <t xml:space="preserve">PENTEL W/B MARKER BLACK </t>
  </si>
  <si>
    <t>AS466</t>
  </si>
  <si>
    <t>WHITE CHALK 12</t>
  </si>
  <si>
    <t>AS467</t>
  </si>
  <si>
    <t xml:space="preserve">COLOUR CHALK WHITE </t>
  </si>
  <si>
    <t>AS468</t>
  </si>
  <si>
    <t xml:space="preserve">LIBRARY BOOK BAG </t>
  </si>
  <si>
    <t>AS469</t>
  </si>
  <si>
    <t xml:space="preserve">ZIPPER BAG </t>
  </si>
  <si>
    <t>AS470</t>
  </si>
  <si>
    <t xml:space="preserve">BOOK BAG </t>
  </si>
  <si>
    <t>AS471</t>
  </si>
  <si>
    <t xml:space="preserve">SKIPPING ROPE 2M </t>
  </si>
  <si>
    <t>AS472</t>
  </si>
  <si>
    <t>BEAN BAG</t>
  </si>
  <si>
    <t>AS473</t>
  </si>
  <si>
    <t>TISSUE WHITE PACK 100</t>
  </si>
  <si>
    <t>AS474</t>
  </si>
  <si>
    <t>CHAIR BAG 45CM</t>
  </si>
  <si>
    <t>AS981</t>
  </si>
  <si>
    <t>BANTEX POSTER PAINT 50ML-PACK OF 6</t>
  </si>
  <si>
    <t>AS520</t>
  </si>
  <si>
    <t>BANTEX ACRYLIC PAINT 75ML -PACK OF 5</t>
  </si>
  <si>
    <t>AS596</t>
  </si>
  <si>
    <t>MAPED KIDDIES GRIP RULER 30CM</t>
  </si>
  <si>
    <t>AS718</t>
  </si>
  <si>
    <t>ARTLINE 700 BLACK</t>
  </si>
  <si>
    <t>AS998</t>
  </si>
  <si>
    <t>STAEDTLER JUMBO COLOURING PENCIL 10'S</t>
  </si>
  <si>
    <t>AS593</t>
  </si>
  <si>
    <t>TREELINE GLUE STICK 25G</t>
  </si>
  <si>
    <t>TREELINE GLUE STICK 36G</t>
  </si>
  <si>
    <t>AS505</t>
  </si>
  <si>
    <t>200ML HAND WASH</t>
  </si>
  <si>
    <t>AS506</t>
  </si>
  <si>
    <t>50ML HAND SANITISER</t>
  </si>
  <si>
    <t>AS744</t>
  </si>
  <si>
    <t>A4 CANVAS BOARD</t>
  </si>
  <si>
    <t>AS607</t>
  </si>
  <si>
    <t>A3 CANVAS BOARD</t>
  </si>
  <si>
    <t>Quoter Deshnee Munthree  -  0845970561</t>
  </si>
  <si>
    <t>A100</t>
  </si>
  <si>
    <t>Alert Stationers</t>
  </si>
  <si>
    <t>Pranesh Beharie</t>
  </si>
  <si>
    <t>19 Dr Yusuf Dadoo Street</t>
  </si>
  <si>
    <t>Durban</t>
  </si>
  <si>
    <t>Alert Stationers - The Old Sawmills, Kennington, Somewhere, 54256.                               mail@HighfiedWidgets.com</t>
  </si>
  <si>
    <t xml:space="preserve">Customer:  </t>
  </si>
  <si>
    <t>25_001</t>
  </si>
  <si>
    <t xml:space="preserve">METAL SHARPENER SINGLE HOLE </t>
  </si>
  <si>
    <t xml:space="preserve">METAL SHARPENER DOUBLE  HOLE </t>
  </si>
  <si>
    <t>Stock 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</si>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</sst>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4" formatCode="_-[$R-1C09]* #,##0.00_-;\-[$R-1C09]* #,##0.00_-;_-[$R-1C09]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2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4" fillId="0" borderId="0" xfId="0" applyFont="1"/>
    <xf numFmtId="4" fontId="0" fillId="0" borderId="0" xfId="0" applyNumberForma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 vertical="justify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8" fontId="0" fillId="0" borderId="0" xfId="0" applyNumberFormat="1"/>
    <xf numFmtId="0" fontId="0" fillId="0" borderId="0" xfId="0" applyBorder="1"/>
    <xf numFmtId="0" fontId="16" fillId="0" borderId="0" xfId="0" applyFont="1" applyBorder="1"/>
    <xf numFmtId="0" fontId="2" fillId="0" borderId="0" xfId="0" applyFont="1" applyBorder="1" applyAlignment="1">
      <alignment horizontal="center"/>
    </xf>
    <xf numFmtId="0" fontId="17" fillId="0" borderId="0" xfId="0" applyFont="1" applyBorder="1"/>
    <xf numFmtId="0" fontId="0" fillId="0" borderId="4" xfId="0" applyBorder="1"/>
    <xf numFmtId="0" fontId="18" fillId="0" borderId="0" xfId="0" applyFont="1"/>
    <xf numFmtId="4" fontId="18" fillId="0" borderId="0" xfId="0" applyNumberFormat="1" applyFont="1"/>
    <xf numFmtId="3" fontId="18" fillId="0" borderId="0" xfId="0" applyNumberFormat="1" applyFont="1"/>
    <xf numFmtId="0" fontId="19" fillId="0" borderId="0" xfId="0" applyFont="1" applyBorder="1"/>
    <xf numFmtId="0" fontId="2" fillId="0" borderId="3" xfId="0" applyFont="1" applyBorder="1" applyAlignment="1"/>
    <xf numFmtId="0" fontId="2" fillId="0" borderId="3" xfId="0" applyFont="1" applyBorder="1" applyAlignment="1">
      <alignment vertical="center"/>
    </xf>
    <xf numFmtId="0" fontId="20" fillId="0" borderId="3" xfId="0" applyFont="1" applyBorder="1"/>
    <xf numFmtId="0" fontId="20" fillId="0" borderId="3" xfId="0" applyFont="1" applyBorder="1" applyAlignment="1">
      <alignment horizontal="right"/>
    </xf>
    <xf numFmtId="0" fontId="2" fillId="0" borderId="0" xfId="0" applyFont="1"/>
    <xf numFmtId="0" fontId="21" fillId="0" borderId="0" xfId="0" applyFont="1"/>
    <xf numFmtId="164" fontId="2" fillId="0" borderId="0" xfId="0" applyNumberFormat="1" applyFont="1"/>
    <xf numFmtId="14" fontId="22" fillId="0" borderId="0" xfId="0" applyNumberFormat="1" applyFont="1" applyAlignment="1">
      <alignment horizontal="left"/>
    </xf>
    <xf numFmtId="0" fontId="23" fillId="0" borderId="0" xfId="0" applyFont="1"/>
    <xf numFmtId="0" fontId="14" fillId="0" borderId="0" xfId="0" applyFont="1" applyAlignment="1">
      <alignment horizontal="center"/>
    </xf>
    <xf numFmtId="0" fontId="15" fillId="0" borderId="0" xfId="1" applyFont="1" applyAlignment="1">
      <alignment horizontal="left"/>
    </xf>
    <xf numFmtId="0" fontId="8" fillId="0" borderId="0" xfId="0" applyFont="1" applyAlignment="1">
      <alignment horizontal="center" vertical="justify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www.mrspreadsheet.com/collections/cash-flow-forecasting" TargetMode="External"/><Relationship Id="rId3" Type="http://schemas.openxmlformats.org/officeDocument/2006/relationships/hyperlink" Target="https://twitter.com/Mr_SpreadSheet/" TargetMode="External"/><Relationship Id="rId7" Type="http://schemas.openxmlformats.org/officeDocument/2006/relationships/hyperlink" Target="http://www.MrSpreadSheet.com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1" Type="http://schemas.openxmlformats.org/officeDocument/2006/relationships/hyperlink" Target="https://www.instagram.com/mrspreadsheet/" TargetMode="External"/><Relationship Id="rId6" Type="http://schemas.openxmlformats.org/officeDocument/2006/relationships/image" Target="../media/image3.jpeg"/><Relationship Id="rId11" Type="http://schemas.openxmlformats.org/officeDocument/2006/relationships/hyperlink" Target="https://www.mrspreadsheet.com/collections/bookkeeping-spreadsheets" TargetMode="External"/><Relationship Id="rId5" Type="http://schemas.openxmlformats.org/officeDocument/2006/relationships/hyperlink" Target="https://www.facebook.com/MrSpreadSheets" TargetMode="External"/><Relationship Id="rId15" Type="http://schemas.openxmlformats.org/officeDocument/2006/relationships/hyperlink" Target="https://www.youtube.com/@MrSpreadSheet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jpeg"/><Relationship Id="rId9" Type="http://schemas.openxmlformats.org/officeDocument/2006/relationships/hyperlink" Target="https://www.mrspreadsheet.com/collections/accounting-spreadsheets" TargetMode="Externa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1149341</xdr:colOff>
      <xdr:row>10</xdr:row>
      <xdr:rowOff>265679</xdr:rowOff>
    </xdr:from>
    <xdr:to>
      <xdr:col>2</xdr:col>
      <xdr:colOff>1358892</xdr:colOff>
      <xdr:row>12</xdr:row>
      <xdr:rowOff>25248</xdr:rowOff>
    </xdr:to>
    <xdr:pic>
      <xdr:nvPicPr>
        <xdr:cNvPr id="2" name="Picture 1" descr="Image result for Instagram Logo. Size: 144 x 137. Source: pngimg.co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72DB6-CFFF-486A-9F57-E3132E223C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8541" y="2259579"/>
          <a:ext cx="209551" cy="305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1574798</xdr:colOff>
      <xdr:row>11</xdr:row>
      <xdr:rowOff>8263</xdr:rowOff>
    </xdr:from>
    <xdr:to>
      <xdr:col>2</xdr:col>
      <xdr:colOff>1784349</xdr:colOff>
      <xdr:row>12</xdr:row>
      <xdr:rowOff>34532</xdr:rowOff>
    </xdr:to>
    <xdr:pic>
      <xdr:nvPicPr>
        <xdr:cNvPr id="3" name="Picture 2" descr="Image result for Twitter Logo. Size: 196 x 137. Source: wie.ieee.or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4072CC-1378-4D73-BC38-0A214127E3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3998" y="2268863"/>
          <a:ext cx="209551" cy="305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685797</xdr:colOff>
      <xdr:row>11</xdr:row>
      <xdr:rowOff>6350</xdr:rowOff>
    </xdr:from>
    <xdr:to>
      <xdr:col>2</xdr:col>
      <xdr:colOff>895348</xdr:colOff>
      <xdr:row>12</xdr:row>
      <xdr:rowOff>32619</xdr:rowOff>
    </xdr:to>
    <xdr:pic>
      <xdr:nvPicPr>
        <xdr:cNvPr id="4" name="Picture 3" descr="Image result for Facebook Logo. Size: 128 x 133. Source: logo-studio.blogspot.co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CECC84-0DE7-4D93-B050-C5AA101341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7" y="2266950"/>
          <a:ext cx="209551" cy="305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603250</xdr:colOff>
      <xdr:row>1</xdr:row>
      <xdr:rowOff>35230</xdr:rowOff>
    </xdr:from>
    <xdr:to>
      <xdr:col>2</xdr:col>
      <xdr:colOff>2165350</xdr:colOff>
      <xdr:row>4</xdr:row>
      <xdr:rowOff>52909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6F39D1-8270-4D2D-9941-EB7828638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850" y="168580"/>
          <a:ext cx="2171700" cy="570129"/>
        </a:xfrm>
        <a:prstGeom prst="rect">
          <a:avLst/>
        </a:prstGeom>
      </xdr:spPr>
    </xdr:pic>
    <xdr:clientData/>
  </xdr:twoCellAnchor>
  <xdr:twoCellAnchor editAs="oneCell">
    <xdr:from>
      <xdr:col>6</xdr:col>
      <xdr:colOff>146051</xdr:colOff>
      <xdr:row>16</xdr:row>
      <xdr:rowOff>73006</xdr:rowOff>
    </xdr:from>
    <xdr:to>
      <xdr:col>9</xdr:col>
      <xdr:colOff>179611</xdr:colOff>
      <xdr:row>23</xdr:row>
      <xdr:rowOff>0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85D7FA-F602-40AF-97FC-66D66304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1" y="3368656"/>
          <a:ext cx="1862360" cy="1127144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139701</xdr:colOff>
      <xdr:row>17</xdr:row>
      <xdr:rowOff>11164</xdr:rowOff>
    </xdr:from>
    <xdr:to>
      <xdr:col>2</xdr:col>
      <xdr:colOff>1784351</xdr:colOff>
      <xdr:row>22</xdr:row>
      <xdr:rowOff>172031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B577ADE-E31B-43F8-B13D-8E87713B5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901" y="3402064"/>
          <a:ext cx="1644650" cy="1081617"/>
        </a:xfrm>
        <a:prstGeom prst="rect">
          <a:avLst/>
        </a:prstGeom>
      </xdr:spPr>
    </xdr:pic>
    <xdr:clientData/>
  </xdr:twoCellAnchor>
  <xdr:twoCellAnchor editAs="oneCell">
    <xdr:from>
      <xdr:col>2</xdr:col>
      <xdr:colOff>2279651</xdr:colOff>
      <xdr:row>17</xdr:row>
      <xdr:rowOff>14181</xdr:rowOff>
    </xdr:from>
    <xdr:to>
      <xdr:col>5</xdr:col>
      <xdr:colOff>317500</xdr:colOff>
      <xdr:row>23</xdr:row>
      <xdr:rowOff>10109</xdr:rowOff>
    </xdr:to>
    <xdr:pic>
      <xdr:nvPicPr>
        <xdr:cNvPr id="8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6AEC715-7D42-4522-AAC9-B1A27032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8851" y="3405081"/>
          <a:ext cx="1670049" cy="1100828"/>
        </a:xfrm>
        <a:prstGeom prst="rect">
          <a:avLst/>
        </a:prstGeom>
      </xdr:spPr>
    </xdr:pic>
    <xdr:clientData/>
  </xdr:twoCellAnchor>
  <xdr:twoCellAnchor editAs="oneCell">
    <xdr:from>
      <xdr:col>2</xdr:col>
      <xdr:colOff>1993899</xdr:colOff>
      <xdr:row>11</xdr:row>
      <xdr:rowOff>25399</xdr:rowOff>
    </xdr:from>
    <xdr:to>
      <xdr:col>2</xdr:col>
      <xdr:colOff>2203450</xdr:colOff>
      <xdr:row>12</xdr:row>
      <xdr:rowOff>44450</xdr:rowOff>
    </xdr:to>
    <xdr:pic>
      <xdr:nvPicPr>
        <xdr:cNvPr id="9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32FF0CC-691D-4397-B023-683F3F8D0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3099" y="2285999"/>
          <a:ext cx="209551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873760</xdr:colOff>
      <xdr:row>0</xdr:row>
      <xdr:rowOff>88900</xdr:rowOff>
    </xdr:from>
    <xdr:ext cx="6835140" cy="796757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0D3A3DB-14FF-4C00-995A-09FF3D2B78AF}"/>
            </a:ext>
          </a:extLst>
        </xdr:cNvPr>
        <xdr:cNvSpPr/>
      </xdr:nvSpPr>
      <xdr:spPr>
        <a:xfrm>
          <a:off x="3985260" y="88900"/>
          <a:ext cx="6835140" cy="79675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500" b="1" u="sng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Alert Stationers</a:t>
          </a:r>
        </a:p>
      </xdr:txBody>
    </xdr:sp>
    <xdr:clientData/>
  </xdr:oneCellAnchor>
  <xdr:twoCellAnchor>
    <xdr:from>
      <xdr:col>2</xdr:col>
      <xdr:colOff>429260</xdr:colOff>
      <xdr:row>4</xdr:row>
      <xdr:rowOff>149860</xdr:rowOff>
    </xdr:from>
    <xdr:to>
      <xdr:col>4</xdr:col>
      <xdr:colOff>2578100</xdr:colOff>
      <xdr:row>6</xdr:row>
      <xdr:rowOff>78740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34CB7-C8D1-45C0-A05B-E56E75044DDC}"/>
            </a:ext>
          </a:extLst>
        </xdr:cNvPr>
        <xdr:cNvSpPr txBox="1"/>
      </xdr:nvSpPr>
      <xdr:spPr>
        <a:xfrm>
          <a:off x="4823460" y="861060"/>
          <a:ext cx="5311140" cy="284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rgbClr val="FF33CC"/>
              </a:solidFill>
            </a:rPr>
            <a:t>Your 1 Stop Stationery Shop</a:t>
          </a:r>
        </a:p>
      </xdr:txBody>
    </xdr:sp>
    <xdr:clientData/>
  </xdr:twoCellAnchor>
  <xdr:twoCellAnchor>
    <xdr:from>
      <xdr:col>3</xdr:col>
      <xdr:colOff>457200</xdr:colOff>
      <xdr:row>8</xdr:row>
      <xdr:rowOff>393700</xdr:rowOff>
    </xdr:from>
    <xdr:to>
      <xdr:col>3</xdr:col>
      <xdr:colOff>2166620</xdr:colOff>
      <xdr:row>10</xdr:row>
      <xdr:rowOff>44450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C8C02B9-D82C-491B-BEED-9CD4A1AF5D87}"/>
            </a:ext>
          </a:extLst>
        </xdr:cNvPr>
        <xdr:cNvSpPr txBox="1"/>
      </xdr:nvSpPr>
      <xdr:spPr>
        <a:xfrm>
          <a:off x="5613400" y="1816100"/>
          <a:ext cx="1709420" cy="527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/>
            <a:t>Quotation</a:t>
          </a:r>
        </a:p>
      </xdr:txBody>
    </xdr:sp>
    <xdr:clientData/>
  </xdr:twoCellAnchor>
  <xdr:twoCellAnchor editAs="oneCell">
    <xdr:from>
      <xdr:col>0</xdr:col>
      <xdr:colOff>0</xdr:colOff>
      <xdr:row>1</xdr:row>
      <xdr:rowOff>4386</xdr:rowOff>
    </xdr:from>
    <xdr:to>
      <xdr:col>0</xdr:col>
      <xdr:colOff>2156460</xdr:colOff>
      <xdr:row>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FF674-8CFA-0C31-2E8A-A0B79C123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182186"/>
          <a:ext cx="2156460" cy="17101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2A6DB-5496-4EBD-8609-CD5BDB1D2871}" name="Table1" displayName="Table1" ref="C3:J25" totalsRowShown="0">
  <autoFilter ref="C3:J25" xr:uid="{93D2A6DB-5496-4EBD-8609-CD5BDB1D2871}"/>
  <tableColumns count="8">
    <tableColumn id="1" xr3:uid="{D8DB9C19-6F27-4E09-9DD9-E7E7651A9259}" name="Code"/>
    <tableColumn id="2" xr3:uid="{9386683E-7903-472C-A7FF-25D26388D5B4}" name="Name"/>
    <tableColumn id="3" xr3:uid="{E41C64F1-B75F-41D8-80C7-4B5559507781}" name="Contact"/>
    <tableColumn id="4" xr3:uid="{E7DF7DFA-E5A9-43C1-B566-BF48F0981317}" name="Address1"/>
    <tableColumn id="5" xr3:uid="{1CA2FEB9-519B-4DE2-B560-EE2148AF5EFD}" name="Address2"/>
    <tableColumn id="6" xr3:uid="{326A21DC-2013-4DAA-B936-AC555C8A238A}" name="Address3"/>
    <tableColumn id="7" xr3:uid="{25448E66-5483-4343-B69D-E6121CE5CAF5}" name="Address4"/>
    <tableColumn id="8" xr3:uid="{B1AECC9F-98D3-4A85-B161-07594775C5FB}" name="Zip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mrspreadshee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F5AF-18F1-4091-8862-9C4DD530371C}">
  <dimension ref="C1:O48"/>
  <sheetViews>
    <sheetView showGridLines="0" workbookViewId="0">
      <selection activeCell="K23" sqref="K23"/>
    </sheetView>
  </sheetViews>
  <sheetFormatPr defaultRowHeight="14.4" x14ac:dyDescent="0.3"/>
  <cols>
    <col min="3" max="3" width="34.5546875" customWidth="1"/>
    <col min="10" max="10" width="11.21875" customWidth="1"/>
  </cols>
  <sheetData>
    <row r="1" spans="3:15" ht="10.5" customHeight="1" x14ac:dyDescent="0.3"/>
    <row r="4" spans="3:15" ht="18" customHeight="1" x14ac:dyDescent="0.3">
      <c r="C4" s="7" t="s">
        <v>22</v>
      </c>
    </row>
    <row r="5" spans="3:15" ht="16.95" customHeight="1" x14ac:dyDescent="0.35">
      <c r="C5" s="5"/>
    </row>
    <row r="6" spans="3:15" ht="21" x14ac:dyDescent="0.4">
      <c r="C6" s="14" t="s">
        <v>27</v>
      </c>
    </row>
    <row r="7" spans="3:15" ht="10.5" customHeight="1" x14ac:dyDescent="0.4">
      <c r="C7" s="8"/>
    </row>
    <row r="8" spans="3:15" ht="21" x14ac:dyDescent="0.4">
      <c r="C8" s="14" t="s">
        <v>28</v>
      </c>
    </row>
    <row r="9" spans="3:15" ht="7.5" customHeight="1" x14ac:dyDescent="0.4">
      <c r="C9" s="8"/>
    </row>
    <row r="10" spans="3:15" ht="22.5" customHeight="1" x14ac:dyDescent="0.3">
      <c r="C10" t="s">
        <v>29</v>
      </c>
    </row>
    <row r="11" spans="3:15" ht="21" x14ac:dyDescent="0.4">
      <c r="C11" s="8"/>
    </row>
    <row r="12" spans="3:15" ht="22.05" customHeight="1" x14ac:dyDescent="0.4">
      <c r="D12" s="34" t="s">
        <v>30</v>
      </c>
      <c r="E12" s="34"/>
      <c r="F12" s="34"/>
      <c r="G12" s="34"/>
      <c r="H12" s="35" t="s">
        <v>31</v>
      </c>
      <c r="I12" s="35"/>
      <c r="J12" s="35"/>
      <c r="K12" s="35"/>
    </row>
    <row r="13" spans="3:15" ht="21" x14ac:dyDescent="0.4">
      <c r="C13" s="8"/>
    </row>
    <row r="14" spans="3:15" ht="19.05" customHeight="1" x14ac:dyDescent="0.3">
      <c r="C14" s="36" t="s">
        <v>23</v>
      </c>
      <c r="D14" s="36"/>
      <c r="E14" s="36"/>
      <c r="F14" s="36"/>
      <c r="G14" s="36"/>
      <c r="H14" s="36"/>
      <c r="I14" s="36"/>
      <c r="J14" s="36"/>
      <c r="K14" s="36"/>
      <c r="L14" s="9"/>
      <c r="M14" s="9"/>
      <c r="N14" s="9"/>
      <c r="O14" s="9"/>
    </row>
    <row r="15" spans="3:15" ht="4.95" customHeight="1" x14ac:dyDescent="0.3"/>
    <row r="16" spans="3:15" x14ac:dyDescent="0.3">
      <c r="C16" s="10" t="s">
        <v>24</v>
      </c>
    </row>
    <row r="17" spans="3:3" ht="7.5" customHeight="1" x14ac:dyDescent="0.3"/>
    <row r="26" spans="3:3" s="10" customFormat="1" x14ac:dyDescent="0.3">
      <c r="C26" s="10" t="s">
        <v>32</v>
      </c>
    </row>
    <row r="27" spans="3:3" s="10" customFormat="1" x14ac:dyDescent="0.3"/>
    <row r="28" spans="3:3" s="10" customFormat="1" x14ac:dyDescent="0.3">
      <c r="C28" s="10" t="s">
        <v>33</v>
      </c>
    </row>
    <row r="29" spans="3:3" s="10" customFormat="1" x14ac:dyDescent="0.3"/>
    <row r="30" spans="3:3" s="10" customFormat="1" x14ac:dyDescent="0.3">
      <c r="C30" s="10" t="s">
        <v>34</v>
      </c>
    </row>
    <row r="32" spans="3:3" x14ac:dyDescent="0.3">
      <c r="C32" t="s">
        <v>25</v>
      </c>
    </row>
    <row r="34" spans="3:3" x14ac:dyDescent="0.3">
      <c r="C34" s="11" t="s">
        <v>26</v>
      </c>
    </row>
    <row r="36" spans="3:3" x14ac:dyDescent="0.3">
      <c r="C36" s="13" t="s">
        <v>35</v>
      </c>
    </row>
    <row r="37" spans="3:3" x14ac:dyDescent="0.3">
      <c r="C37" s="4"/>
    </row>
    <row r="38" spans="3:3" x14ac:dyDescent="0.3">
      <c r="C38" s="12"/>
    </row>
    <row r="39" spans="3:3" x14ac:dyDescent="0.3">
      <c r="C39" s="12"/>
    </row>
    <row r="40" spans="3:3" x14ac:dyDescent="0.3">
      <c r="C40" s="12"/>
    </row>
    <row r="41" spans="3:3" x14ac:dyDescent="0.3">
      <c r="C41" s="12"/>
    </row>
    <row r="42" spans="3:3" x14ac:dyDescent="0.3">
      <c r="C42" s="12"/>
    </row>
    <row r="43" spans="3:3" x14ac:dyDescent="0.3">
      <c r="C43" s="12"/>
    </row>
    <row r="44" spans="3:3" x14ac:dyDescent="0.3">
      <c r="C44" s="12"/>
    </row>
    <row r="45" spans="3:3" x14ac:dyDescent="0.3">
      <c r="C45" s="12"/>
    </row>
    <row r="46" spans="3:3" x14ac:dyDescent="0.3">
      <c r="C46" s="12"/>
    </row>
    <row r="47" spans="3:3" x14ac:dyDescent="0.3">
      <c r="C47" s="12"/>
    </row>
    <row r="48" spans="3:3" x14ac:dyDescent="0.3">
      <c r="C48" s="12"/>
    </row>
  </sheetData>
  <sheetProtection algorithmName="SHA-512" hashValue="t4Hs2iTNNrHg2Jeb7IQZoaawYY/lb5MHC+xQRFbyNFhQ48xIWB6viNCTknhq4y4MOxSpJi/zubRcnY2r2jHTow==" saltValue="ImbBqKSyl2kk488XewOYyA==" spinCount="100000" sheet="1" objects="1" scenarios="1" selectLockedCells="1" selectUnlockedCells="1"/>
  <mergeCells count="3">
    <mergeCell ref="D12:G12"/>
    <mergeCell ref="H12:K12"/>
    <mergeCell ref="C14:K14"/>
  </mergeCells>
  <hyperlinks>
    <hyperlink ref="H12:K12" r:id="rId1" display="www.MrSpreadSheet.com" xr:uid="{52AEC1D4-47E0-481A-9535-A4CEB27F0BF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856F-2892-4AC0-95B8-A3B272047008}">
  <dimension ref="A1:E56"/>
  <sheetViews>
    <sheetView showGridLines="0" view="pageBreakPreview" zoomScale="60" zoomScaleNormal="83" workbookViewId="0">
      <selection activeCell="A19" sqref="A19"/>
    </sheetView>
  </sheetViews>
  <sheetFormatPr defaultRowHeight="14.4" x14ac:dyDescent="0.3"/>
  <cols>
    <col min="1" max="1" width="55.44140625" customWidth="1"/>
    <col min="2" max="2" width="43.5546875" customWidth="1"/>
    <col min="3" max="3" width="19.77734375" customWidth="1"/>
    <col min="4" max="4" width="30.5546875" customWidth="1"/>
    <col min="5" max="5" width="40.5546875" customWidth="1"/>
  </cols>
  <sheetData>
    <row r="1" spans="1:5" x14ac:dyDescent="0.3">
      <c r="A1" s="3"/>
      <c r="B1" s="3"/>
      <c r="C1" s="3"/>
      <c r="D1" s="3"/>
      <c r="E1" s="3"/>
    </row>
    <row r="8" spans="1:5" ht="14.4" customHeight="1" x14ac:dyDescent="0.3">
      <c r="D8" s="39"/>
    </row>
    <row r="9" spans="1:5" ht="37.200000000000003" customHeight="1" x14ac:dyDescent="0.5">
      <c r="A9" s="19"/>
      <c r="B9" s="16"/>
      <c r="C9" s="16"/>
      <c r="D9" s="39"/>
    </row>
    <row r="10" spans="1:5" ht="31.8" thickBot="1" x14ac:dyDescent="0.65">
      <c r="A10" s="24" t="s">
        <v>1003</v>
      </c>
      <c r="B10" s="16"/>
      <c r="C10" s="16"/>
      <c r="D10" s="18"/>
      <c r="E10" s="26" t="s">
        <v>1004</v>
      </c>
    </row>
    <row r="11" spans="1:5" ht="29.4" thickBot="1" x14ac:dyDescent="0.6">
      <c r="A11" s="17"/>
      <c r="B11" s="20"/>
      <c r="C11" s="16"/>
      <c r="D11" s="18"/>
      <c r="E11" s="25"/>
    </row>
    <row r="12" spans="1:5" ht="28.8" x14ac:dyDescent="0.55000000000000004">
      <c r="A12" s="17"/>
      <c r="B12" s="16"/>
      <c r="C12" s="16"/>
      <c r="D12" s="18"/>
      <c r="E12" s="16"/>
    </row>
    <row r="13" spans="1:5" ht="28.8" x14ac:dyDescent="0.55000000000000004">
      <c r="A13" s="27" t="s">
        <v>1007</v>
      </c>
      <c r="B13" s="27" t="s">
        <v>1</v>
      </c>
      <c r="C13" s="28" t="s">
        <v>2</v>
      </c>
      <c r="D13" s="28" t="s">
        <v>3</v>
      </c>
      <c r="E13" s="28" t="s">
        <v>4</v>
      </c>
    </row>
    <row r="14" spans="1:5" ht="21.6" customHeight="1" x14ac:dyDescent="0.4">
      <c r="A14" s="21" t="s">
        <v>36</v>
      </c>
      <c r="B14" s="22" t="str">
        <f t="shared" ref="B14:B50" si="0">IF(A14="", "", IFERROR(_xlfn.XLOOKUP(A14, StockCode, Product), ""))</f>
        <v xml:space="preserve">A4 32PG F/R &amp; MARGIN </v>
      </c>
      <c r="C14" s="23">
        <v>4</v>
      </c>
      <c r="D14" s="22">
        <f t="shared" ref="D14:D50" si="1">IF(A14="", "", INDEX(Price, MATCH(A14, StockCode, 0)))</f>
        <v>3.95</v>
      </c>
      <c r="E14" s="22">
        <f>IF(OR(C14="", D14=""), "", C14 * D14)</f>
        <v>15.8</v>
      </c>
    </row>
    <row r="15" spans="1:5" ht="21" x14ac:dyDescent="0.4">
      <c r="A15" s="21" t="s">
        <v>38</v>
      </c>
      <c r="B15" s="22" t="str">
        <f t="shared" si="0"/>
        <v xml:space="preserve">A4 32PG QUAD </v>
      </c>
      <c r="C15" s="23">
        <v>1</v>
      </c>
      <c r="D15" s="22">
        <f t="shared" si="1"/>
        <v>3.95</v>
      </c>
      <c r="E15" s="22">
        <f t="shared" ref="E15:E49" si="2">IF(OR(C15="", D15=""), "", C15 * D15)</f>
        <v>3.95</v>
      </c>
    </row>
    <row r="16" spans="1:5" ht="21" x14ac:dyDescent="0.4">
      <c r="A16" s="21" t="s">
        <v>955</v>
      </c>
      <c r="B16" s="22" t="str">
        <f t="shared" si="0"/>
        <v xml:space="preserve">PENTEL W/B MARKER BLACK </v>
      </c>
      <c r="C16" s="23">
        <v>1</v>
      </c>
      <c r="D16" s="22">
        <f t="shared" si="1"/>
        <v>32</v>
      </c>
      <c r="E16" s="22">
        <f t="shared" si="2"/>
        <v>32</v>
      </c>
    </row>
    <row r="17" spans="1:5" ht="21" x14ac:dyDescent="0.4">
      <c r="A17" s="21" t="s">
        <v>953</v>
      </c>
      <c r="B17" s="22" t="str">
        <f t="shared" si="0"/>
        <v>W/B MARKER BLACK</v>
      </c>
      <c r="C17" s="23">
        <v>1</v>
      </c>
      <c r="D17" s="22">
        <f t="shared" si="1"/>
        <v>8</v>
      </c>
      <c r="E17" s="22">
        <f t="shared" si="2"/>
        <v>8</v>
      </c>
    </row>
    <row r="18" spans="1:5" ht="21" x14ac:dyDescent="0.4">
      <c r="A18" s="21" t="s">
        <v>36</v>
      </c>
      <c r="B18" s="22" t="str">
        <f t="shared" si="0"/>
        <v xml:space="preserve">A4 32PG F/R &amp; MARGIN </v>
      </c>
      <c r="C18" s="23"/>
      <c r="D18" s="22">
        <f t="shared" si="1"/>
        <v>3.95</v>
      </c>
      <c r="E18" s="22" t="str">
        <f t="shared" si="2"/>
        <v/>
      </c>
    </row>
    <row r="19" spans="1:5" ht="21" x14ac:dyDescent="0.4">
      <c r="A19" s="21" t="s">
        <v>40</v>
      </c>
      <c r="B19" s="22" t="str">
        <f t="shared" si="0"/>
        <v>A4 32PG 17MM RULED&amp; MARGIN</v>
      </c>
      <c r="C19" s="23"/>
      <c r="D19" s="22">
        <f t="shared" si="1"/>
        <v>3.95</v>
      </c>
      <c r="E19" s="22" t="str">
        <f t="shared" si="2"/>
        <v/>
      </c>
    </row>
    <row r="20" spans="1:5" ht="21" x14ac:dyDescent="0.4">
      <c r="A20" s="21"/>
      <c r="B20" s="22" t="str">
        <f t="shared" si="0"/>
        <v/>
      </c>
      <c r="C20" s="23"/>
      <c r="D20" s="22" t="str">
        <f t="shared" si="1"/>
        <v/>
      </c>
      <c r="E20" s="22" t="str">
        <f t="shared" si="2"/>
        <v/>
      </c>
    </row>
    <row r="21" spans="1:5" ht="21" x14ac:dyDescent="0.4">
      <c r="A21" s="21"/>
      <c r="B21" s="22" t="str">
        <f t="shared" si="0"/>
        <v/>
      </c>
      <c r="C21" s="23"/>
      <c r="D21" s="22" t="str">
        <f t="shared" si="1"/>
        <v/>
      </c>
      <c r="E21" s="22" t="str">
        <f t="shared" si="2"/>
        <v/>
      </c>
    </row>
    <row r="22" spans="1:5" ht="21" x14ac:dyDescent="0.4">
      <c r="A22" s="21"/>
      <c r="B22" s="22" t="str">
        <f t="shared" si="0"/>
        <v/>
      </c>
      <c r="C22" s="23"/>
      <c r="D22" s="22" t="str">
        <f t="shared" si="1"/>
        <v/>
      </c>
      <c r="E22" s="22" t="str">
        <f t="shared" si="2"/>
        <v/>
      </c>
    </row>
    <row r="23" spans="1:5" ht="21" x14ac:dyDescent="0.4">
      <c r="A23" s="21"/>
      <c r="B23" s="22" t="str">
        <f t="shared" si="0"/>
        <v/>
      </c>
      <c r="C23" s="23"/>
      <c r="D23" s="22" t="str">
        <f t="shared" si="1"/>
        <v/>
      </c>
      <c r="E23" s="22" t="str">
        <f t="shared" si="2"/>
        <v/>
      </c>
    </row>
    <row r="24" spans="1:5" ht="21" x14ac:dyDescent="0.4">
      <c r="A24" s="21"/>
      <c r="B24" s="22" t="str">
        <f t="shared" si="0"/>
        <v/>
      </c>
      <c r="C24" s="23"/>
      <c r="D24" s="22" t="str">
        <f t="shared" si="1"/>
        <v/>
      </c>
      <c r="E24" s="22" t="str">
        <f t="shared" si="2"/>
        <v/>
      </c>
    </row>
    <row r="25" spans="1:5" ht="21" x14ac:dyDescent="0.4">
      <c r="A25" s="21"/>
      <c r="B25" s="22" t="str">
        <f t="shared" si="0"/>
        <v/>
      </c>
      <c r="C25" s="23"/>
      <c r="D25" s="22" t="str">
        <f t="shared" si="1"/>
        <v/>
      </c>
      <c r="E25" s="22" t="str">
        <f t="shared" si="2"/>
        <v/>
      </c>
    </row>
    <row r="26" spans="1:5" ht="21" x14ac:dyDescent="0.4">
      <c r="A26" s="21"/>
      <c r="B26" s="22" t="str">
        <f t="shared" si="0"/>
        <v/>
      </c>
      <c r="C26" s="23"/>
      <c r="D26" s="22" t="str">
        <f t="shared" si="1"/>
        <v/>
      </c>
      <c r="E26" s="22" t="str">
        <f t="shared" si="2"/>
        <v/>
      </c>
    </row>
    <row r="27" spans="1:5" ht="21" x14ac:dyDescent="0.4">
      <c r="A27" s="21"/>
      <c r="B27" s="22" t="str">
        <f t="shared" si="0"/>
        <v/>
      </c>
      <c r="C27" s="23"/>
      <c r="D27" s="22" t="str">
        <f t="shared" si="1"/>
        <v/>
      </c>
      <c r="E27" s="22" t="str">
        <f t="shared" si="2"/>
        <v/>
      </c>
    </row>
    <row r="28" spans="1:5" ht="21" x14ac:dyDescent="0.4">
      <c r="A28" s="21"/>
      <c r="B28" s="22" t="str">
        <f t="shared" si="0"/>
        <v/>
      </c>
      <c r="C28" s="23"/>
      <c r="D28" s="22" t="str">
        <f t="shared" si="1"/>
        <v/>
      </c>
      <c r="E28" s="22" t="str">
        <f t="shared" si="2"/>
        <v/>
      </c>
    </row>
    <row r="29" spans="1:5" ht="21" x14ac:dyDescent="0.4">
      <c r="A29" s="21"/>
      <c r="B29" s="22" t="str">
        <f t="shared" si="0"/>
        <v/>
      </c>
      <c r="C29" s="23"/>
      <c r="D29" s="22" t="str">
        <f t="shared" si="1"/>
        <v/>
      </c>
      <c r="E29" s="22" t="str">
        <f t="shared" si="2"/>
        <v/>
      </c>
    </row>
    <row r="30" spans="1:5" ht="21" x14ac:dyDescent="0.4">
      <c r="A30" s="21"/>
      <c r="B30" s="22" t="str">
        <f t="shared" si="0"/>
        <v/>
      </c>
      <c r="C30" s="23"/>
      <c r="D30" s="22" t="str">
        <f t="shared" si="1"/>
        <v/>
      </c>
      <c r="E30" s="22" t="str">
        <f t="shared" si="2"/>
        <v/>
      </c>
    </row>
    <row r="31" spans="1:5" ht="21" x14ac:dyDescent="0.4">
      <c r="A31" s="21"/>
      <c r="B31" s="22" t="str">
        <f t="shared" si="0"/>
        <v/>
      </c>
      <c r="C31" s="23"/>
      <c r="D31" s="22" t="str">
        <f t="shared" si="1"/>
        <v/>
      </c>
      <c r="E31" s="22" t="str">
        <f t="shared" si="2"/>
        <v/>
      </c>
    </row>
    <row r="32" spans="1:5" ht="21" x14ac:dyDescent="0.4">
      <c r="A32" s="21"/>
      <c r="B32" s="22" t="str">
        <f t="shared" si="0"/>
        <v/>
      </c>
      <c r="C32" s="23"/>
      <c r="D32" s="22" t="str">
        <f t="shared" si="1"/>
        <v/>
      </c>
      <c r="E32" s="22" t="str">
        <f t="shared" si="2"/>
        <v/>
      </c>
    </row>
    <row r="33" spans="1:5" ht="21" x14ac:dyDescent="0.4">
      <c r="A33" s="21"/>
      <c r="B33" s="22" t="str">
        <f t="shared" si="0"/>
        <v/>
      </c>
      <c r="C33" s="23"/>
      <c r="D33" s="22" t="str">
        <f t="shared" si="1"/>
        <v/>
      </c>
      <c r="E33" s="22" t="str">
        <f t="shared" si="2"/>
        <v/>
      </c>
    </row>
    <row r="34" spans="1:5" ht="21" x14ac:dyDescent="0.4">
      <c r="A34" s="21"/>
      <c r="B34" s="22" t="str">
        <f t="shared" si="0"/>
        <v/>
      </c>
      <c r="C34" s="23"/>
      <c r="D34" s="22" t="str">
        <f t="shared" si="1"/>
        <v/>
      </c>
      <c r="E34" s="22" t="str">
        <f t="shared" si="2"/>
        <v/>
      </c>
    </row>
    <row r="35" spans="1:5" ht="21" x14ac:dyDescent="0.4">
      <c r="A35" s="21"/>
      <c r="B35" s="22" t="str">
        <f t="shared" si="0"/>
        <v/>
      </c>
      <c r="C35" s="23"/>
      <c r="D35" s="22" t="str">
        <f t="shared" si="1"/>
        <v/>
      </c>
      <c r="E35" s="22" t="str">
        <f t="shared" si="2"/>
        <v/>
      </c>
    </row>
    <row r="36" spans="1:5" ht="21" x14ac:dyDescent="0.4">
      <c r="A36" s="21"/>
      <c r="B36" s="22" t="str">
        <f t="shared" si="0"/>
        <v/>
      </c>
      <c r="C36" s="23"/>
      <c r="D36" s="22" t="str">
        <f t="shared" si="1"/>
        <v/>
      </c>
      <c r="E36" s="22" t="str">
        <f t="shared" si="2"/>
        <v/>
      </c>
    </row>
    <row r="37" spans="1:5" ht="21" x14ac:dyDescent="0.4">
      <c r="A37" s="21"/>
      <c r="B37" s="22" t="str">
        <f t="shared" si="0"/>
        <v/>
      </c>
      <c r="C37" s="23"/>
      <c r="D37" s="22" t="str">
        <f t="shared" si="1"/>
        <v/>
      </c>
      <c r="E37" s="22" t="str">
        <f t="shared" si="2"/>
        <v/>
      </c>
    </row>
    <row r="38" spans="1:5" ht="21" x14ac:dyDescent="0.4">
      <c r="A38" s="21"/>
      <c r="B38" s="22" t="str">
        <f t="shared" si="0"/>
        <v/>
      </c>
      <c r="C38" s="23"/>
      <c r="D38" s="22" t="str">
        <f t="shared" si="1"/>
        <v/>
      </c>
      <c r="E38" s="22" t="str">
        <f t="shared" si="2"/>
        <v/>
      </c>
    </row>
    <row r="39" spans="1:5" ht="21" x14ac:dyDescent="0.4">
      <c r="A39" s="21"/>
      <c r="B39" s="22" t="str">
        <f t="shared" si="0"/>
        <v/>
      </c>
      <c r="C39" s="23"/>
      <c r="D39" s="22" t="str">
        <f t="shared" si="1"/>
        <v/>
      </c>
      <c r="E39" s="22" t="str">
        <f t="shared" si="2"/>
        <v/>
      </c>
    </row>
    <row r="40" spans="1:5" ht="21" x14ac:dyDescent="0.4">
      <c r="A40" s="21"/>
      <c r="B40" s="22" t="str">
        <f t="shared" si="0"/>
        <v/>
      </c>
      <c r="C40" s="23"/>
      <c r="D40" s="22" t="str">
        <f t="shared" si="1"/>
        <v/>
      </c>
      <c r="E40" s="22" t="str">
        <f t="shared" si="2"/>
        <v/>
      </c>
    </row>
    <row r="41" spans="1:5" ht="21" x14ac:dyDescent="0.4">
      <c r="A41" s="21"/>
      <c r="B41" s="22" t="str">
        <f t="shared" si="0"/>
        <v/>
      </c>
      <c r="C41" s="23"/>
      <c r="D41" s="22" t="str">
        <f t="shared" si="1"/>
        <v/>
      </c>
      <c r="E41" s="22" t="str">
        <f t="shared" si="2"/>
        <v/>
      </c>
    </row>
    <row r="42" spans="1:5" ht="21" x14ac:dyDescent="0.4">
      <c r="A42" s="21"/>
      <c r="B42" s="22" t="str">
        <f t="shared" si="0"/>
        <v/>
      </c>
      <c r="C42" s="23"/>
      <c r="D42" s="22" t="str">
        <f t="shared" si="1"/>
        <v/>
      </c>
      <c r="E42" s="22" t="str">
        <f t="shared" si="2"/>
        <v/>
      </c>
    </row>
    <row r="43" spans="1:5" ht="21" x14ac:dyDescent="0.4">
      <c r="A43" s="21"/>
      <c r="B43" s="22" t="str">
        <f t="shared" si="0"/>
        <v/>
      </c>
      <c r="C43" s="23"/>
      <c r="D43" s="22" t="str">
        <f t="shared" si="1"/>
        <v/>
      </c>
      <c r="E43" s="22" t="str">
        <f t="shared" si="2"/>
        <v/>
      </c>
    </row>
    <row r="44" spans="1:5" ht="21" x14ac:dyDescent="0.4">
      <c r="A44" s="21"/>
      <c r="B44" s="22" t="str">
        <f t="shared" si="0"/>
        <v/>
      </c>
      <c r="C44" s="23"/>
      <c r="D44" s="22" t="str">
        <f t="shared" si="1"/>
        <v/>
      </c>
      <c r="E44" s="22" t="str">
        <f t="shared" si="2"/>
        <v/>
      </c>
    </row>
    <row r="45" spans="1:5" ht="21" x14ac:dyDescent="0.4">
      <c r="A45" s="21"/>
      <c r="B45" s="22" t="str">
        <f t="shared" si="0"/>
        <v/>
      </c>
      <c r="C45" s="23"/>
      <c r="D45" s="22" t="str">
        <f t="shared" si="1"/>
        <v/>
      </c>
      <c r="E45" s="22" t="str">
        <f t="shared" si="2"/>
        <v/>
      </c>
    </row>
    <row r="46" spans="1:5" ht="21" x14ac:dyDescent="0.4">
      <c r="A46" s="21"/>
      <c r="B46" s="22" t="str">
        <f t="shared" si="0"/>
        <v/>
      </c>
      <c r="C46" s="21"/>
      <c r="D46" s="22" t="str">
        <f t="shared" si="1"/>
        <v/>
      </c>
      <c r="E46" s="22" t="str">
        <f t="shared" si="2"/>
        <v/>
      </c>
    </row>
    <row r="47" spans="1:5" ht="21" x14ac:dyDescent="0.4">
      <c r="A47" s="21"/>
      <c r="B47" s="22" t="str">
        <f t="shared" si="0"/>
        <v/>
      </c>
      <c r="C47" s="21"/>
      <c r="D47" s="22" t="str">
        <f t="shared" si="1"/>
        <v/>
      </c>
      <c r="E47" s="22" t="str">
        <f t="shared" si="2"/>
        <v/>
      </c>
    </row>
    <row r="48" spans="1:5" ht="21" x14ac:dyDescent="0.4">
      <c r="A48" s="21"/>
      <c r="B48" s="22" t="str">
        <f t="shared" si="0"/>
        <v/>
      </c>
      <c r="C48" s="21"/>
      <c r="D48" s="22" t="str">
        <f t="shared" si="1"/>
        <v/>
      </c>
      <c r="E48" s="22" t="str">
        <f t="shared" si="2"/>
        <v/>
      </c>
    </row>
    <row r="49" spans="1:5" ht="21" x14ac:dyDescent="0.4">
      <c r="A49" s="21"/>
      <c r="B49" s="22" t="str">
        <f t="shared" si="0"/>
        <v/>
      </c>
      <c r="C49" s="21"/>
      <c r="D49" s="22" t="str">
        <f t="shared" si="1"/>
        <v/>
      </c>
      <c r="E49" s="22" t="str">
        <f t="shared" si="2"/>
        <v/>
      </c>
    </row>
    <row r="50" spans="1:5" ht="21" x14ac:dyDescent="0.4">
      <c r="A50" s="21"/>
      <c r="B50" s="22" t="str">
        <f t="shared" si="0"/>
        <v/>
      </c>
      <c r="C50" s="21"/>
      <c r="D50" s="22" t="str">
        <f t="shared" si="1"/>
        <v/>
      </c>
      <c r="E50" s="22" t="str">
        <f t="shared" ref="E50" si="3">IF(OR(C50="", D50=""), "", C50*D50)</f>
        <v/>
      </c>
    </row>
    <row r="51" spans="1:5" ht="21" x14ac:dyDescent="0.4">
      <c r="A51" s="21" t="s">
        <v>88</v>
      </c>
      <c r="D51" s="22"/>
      <c r="E51" s="6"/>
    </row>
    <row r="52" spans="1:5" ht="28.8" x14ac:dyDescent="0.55000000000000004">
      <c r="A52" s="32">
        <f ca="1">TODAY()</f>
        <v>45991</v>
      </c>
      <c r="B52" s="33" t="s">
        <v>996</v>
      </c>
      <c r="C52" s="29" t="s">
        <v>21</v>
      </c>
      <c r="D52" s="30"/>
      <c r="E52" s="31">
        <f>SUM(E14:E51)</f>
        <v>59.75</v>
      </c>
    </row>
    <row r="54" spans="1:5" x14ac:dyDescent="0.3">
      <c r="A54" s="3"/>
      <c r="B54" s="3"/>
      <c r="C54" s="3"/>
      <c r="D54" s="3"/>
      <c r="E54" s="3"/>
    </row>
    <row r="55" spans="1:5" x14ac:dyDescent="0.3">
      <c r="A55" s="37" t="s">
        <v>1002</v>
      </c>
      <c r="B55" s="38"/>
      <c r="C55" s="38"/>
      <c r="D55" s="38"/>
      <c r="E55" s="38"/>
    </row>
    <row r="56" spans="1:5" x14ac:dyDescent="0.3">
      <c r="A56" s="2"/>
      <c r="B56" s="2"/>
      <c r="C56" s="2"/>
      <c r="D56" s="2"/>
      <c r="E56" s="2"/>
    </row>
  </sheetData>
  <mergeCells count="2">
    <mergeCell ref="A55:E55"/>
    <mergeCell ref="D8:D9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52" fitToWidth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C5309F-1D99-48F2-8225-E9584FF18676}">
          <x14:formula1>
            <xm:f>Products!$B:$B</xm:f>
          </x14:formula1>
          <xm:sqref>A1:A12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C086-CA1D-4057-8EEC-2ED062DC88E7}">
  <dimension ref="C3:J5"/>
  <sheetViews>
    <sheetView showGridLines="0" workbookViewId="0">
      <selection activeCell="E4" sqref="E4"/>
    </sheetView>
  </sheetViews>
  <sheetFormatPr defaultRowHeight="14.4" x14ac:dyDescent="0.3"/>
  <cols>
    <col min="3" max="3" width="11.33203125" customWidth="1"/>
    <col min="4" max="4" width="21" customWidth="1"/>
    <col min="5" max="5" width="20.77734375" customWidth="1"/>
    <col min="6" max="6" width="25.6640625" customWidth="1"/>
    <col min="7" max="9" width="13.77734375" customWidth="1"/>
    <col min="10" max="10" width="8.77734375" style="1"/>
  </cols>
  <sheetData>
    <row r="3" spans="3:10" x14ac:dyDescent="0.3">
      <c r="C3" t="s">
        <v>0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s="1" t="s">
        <v>12</v>
      </c>
    </row>
    <row r="4" spans="3:10" x14ac:dyDescent="0.3">
      <c r="C4" t="s">
        <v>997</v>
      </c>
      <c r="D4" t="s">
        <v>998</v>
      </c>
      <c r="E4" t="s">
        <v>999</v>
      </c>
      <c r="F4" t="s">
        <v>1000</v>
      </c>
      <c r="G4" t="s">
        <v>1001</v>
      </c>
      <c r="H4" t="s">
        <v>13</v>
      </c>
      <c r="J4" s="1">
        <v>4000</v>
      </c>
    </row>
    <row r="5" spans="3:10" x14ac:dyDescent="0.3"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s="1">
        <v>56859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9B9F-01CF-4DA8-B22B-4313D06A7919}">
  <dimension ref="A4:D487"/>
  <sheetViews>
    <sheetView tabSelected="1" topLeftCell="A467" workbookViewId="0">
      <selection activeCell="A490" sqref="A490"/>
    </sheetView>
  </sheetViews>
  <sheetFormatPr defaultRowHeight="14.4" x14ac:dyDescent="0.3"/>
  <cols>
    <col min="1" max="1" width="33.44140625" customWidth="1"/>
    <col min="2" max="3" width="12.44140625" customWidth="1"/>
  </cols>
  <sheetData>
    <row r="4" spans="1:4" x14ac:dyDescent="0.3">
      <c r="A4" s="4" t="s">
        <v>1</v>
      </c>
      <c r="B4" s="4" t="s">
        <v>5</v>
      </c>
      <c r="C4" s="4" t="s">
        <v>1008</v>
      </c>
      <c r="D4" s="4" t="s">
        <v>3</v>
      </c>
    </row>
    <row r="5" spans="1:4" x14ac:dyDescent="0.3">
      <c r="A5" t="s">
        <v>964</v>
      </c>
      <c r="B5" t="s">
        <v>963</v>
      </c>
      <c r="D5" s="40">
        <v>32</v>
      </c>
    </row>
    <row r="6" spans="1:4" x14ac:dyDescent="0.3">
      <c r="A6" t="s">
        <v>950</v>
      </c>
      <c r="B6" t="s">
        <v>949</v>
      </c>
      <c r="D6" s="40">
        <v>13.5</v>
      </c>
    </row>
    <row r="7" spans="1:4" x14ac:dyDescent="0.3">
      <c r="A7" t="s">
        <v>958</v>
      </c>
      <c r="B7" t="s">
        <v>957</v>
      </c>
      <c r="D7" s="40">
        <v>19</v>
      </c>
    </row>
    <row r="8" spans="1:4" x14ac:dyDescent="0.3">
      <c r="A8" t="s">
        <v>928</v>
      </c>
      <c r="B8" t="s">
        <v>927</v>
      </c>
      <c r="D8" s="40">
        <v>30</v>
      </c>
    </row>
    <row r="9" spans="1:4" x14ac:dyDescent="0.3">
      <c r="A9" t="s">
        <v>952</v>
      </c>
      <c r="B9" t="s">
        <v>951</v>
      </c>
      <c r="D9" s="40">
        <v>36</v>
      </c>
    </row>
    <row r="10" spans="1:4" x14ac:dyDescent="0.3">
      <c r="A10" t="s">
        <v>954</v>
      </c>
      <c r="B10" t="s">
        <v>953</v>
      </c>
      <c r="D10" s="40">
        <v>8</v>
      </c>
    </row>
    <row r="11" spans="1:4" x14ac:dyDescent="0.3">
      <c r="A11" t="s">
        <v>944</v>
      </c>
      <c r="B11" t="s">
        <v>943</v>
      </c>
      <c r="D11" s="40">
        <v>360</v>
      </c>
    </row>
    <row r="12" spans="1:4" x14ac:dyDescent="0.3">
      <c r="A12" t="s">
        <v>938</v>
      </c>
      <c r="B12" t="s">
        <v>937</v>
      </c>
      <c r="D12" s="40">
        <v>265</v>
      </c>
    </row>
    <row r="13" spans="1:4" x14ac:dyDescent="0.3">
      <c r="A13" t="s">
        <v>936</v>
      </c>
      <c r="B13" t="s">
        <v>935</v>
      </c>
      <c r="D13" s="40">
        <v>25</v>
      </c>
    </row>
    <row r="14" spans="1:4" x14ac:dyDescent="0.3">
      <c r="A14" t="s">
        <v>940</v>
      </c>
      <c r="B14" t="s">
        <v>939</v>
      </c>
      <c r="D14" s="40">
        <v>350</v>
      </c>
    </row>
    <row r="15" spans="1:4" x14ac:dyDescent="0.3">
      <c r="A15" t="s">
        <v>934</v>
      </c>
      <c r="B15" t="s">
        <v>933</v>
      </c>
      <c r="D15" s="40">
        <v>90</v>
      </c>
    </row>
    <row r="16" spans="1:4" x14ac:dyDescent="0.3">
      <c r="A16" t="s">
        <v>313</v>
      </c>
      <c r="B16" t="s">
        <v>312</v>
      </c>
      <c r="D16" s="40">
        <v>19</v>
      </c>
    </row>
    <row r="17" spans="1:4" x14ac:dyDescent="0.3">
      <c r="A17" t="s">
        <v>315</v>
      </c>
      <c r="B17" t="s">
        <v>314</v>
      </c>
      <c r="D17" s="40">
        <v>19</v>
      </c>
    </row>
    <row r="18" spans="1:4" x14ac:dyDescent="0.3">
      <c r="A18" t="s">
        <v>843</v>
      </c>
      <c r="B18" t="s">
        <v>842</v>
      </c>
      <c r="D18" s="40">
        <v>55</v>
      </c>
    </row>
    <row r="19" spans="1:4" x14ac:dyDescent="0.3">
      <c r="A19" t="s">
        <v>459</v>
      </c>
      <c r="B19" t="s">
        <v>458</v>
      </c>
      <c r="D19" s="40">
        <v>11</v>
      </c>
    </row>
    <row r="20" spans="1:4" x14ac:dyDescent="0.3">
      <c r="A20" t="s">
        <v>453</v>
      </c>
      <c r="B20" t="s">
        <v>452</v>
      </c>
      <c r="D20" s="40">
        <v>4.5</v>
      </c>
    </row>
    <row r="21" spans="1:4" x14ac:dyDescent="0.3">
      <c r="A21" t="s">
        <v>499</v>
      </c>
      <c r="B21" t="s">
        <v>498</v>
      </c>
      <c r="D21" s="40">
        <v>20</v>
      </c>
    </row>
    <row r="22" spans="1:4" x14ac:dyDescent="0.3">
      <c r="A22" t="s">
        <v>497</v>
      </c>
      <c r="B22" t="s">
        <v>496</v>
      </c>
      <c r="D22" s="40">
        <v>12</v>
      </c>
    </row>
    <row r="23" spans="1:4" x14ac:dyDescent="0.3">
      <c r="A23" t="s">
        <v>539</v>
      </c>
      <c r="B23" t="s">
        <v>538</v>
      </c>
      <c r="D23" s="40">
        <v>46</v>
      </c>
    </row>
    <row r="24" spans="1:4" x14ac:dyDescent="0.3">
      <c r="A24" t="s">
        <v>918</v>
      </c>
      <c r="B24" t="s">
        <v>917</v>
      </c>
      <c r="D24" s="40">
        <v>55</v>
      </c>
    </row>
    <row r="25" spans="1:4" x14ac:dyDescent="0.3">
      <c r="A25" t="s">
        <v>555</v>
      </c>
      <c r="B25" t="s">
        <v>554</v>
      </c>
      <c r="D25" s="40">
        <v>32</v>
      </c>
    </row>
    <row r="26" spans="1:4" x14ac:dyDescent="0.3">
      <c r="A26" t="s">
        <v>553</v>
      </c>
      <c r="B26" t="s">
        <v>552</v>
      </c>
      <c r="D26" s="40">
        <v>22</v>
      </c>
    </row>
    <row r="27" spans="1:4" x14ac:dyDescent="0.3">
      <c r="A27" t="s">
        <v>317</v>
      </c>
      <c r="B27" t="s">
        <v>316</v>
      </c>
      <c r="D27" s="40">
        <v>5</v>
      </c>
    </row>
    <row r="28" spans="1:4" x14ac:dyDescent="0.3">
      <c r="A28" t="s">
        <v>501</v>
      </c>
      <c r="B28" t="s">
        <v>500</v>
      </c>
      <c r="D28" s="40">
        <v>25</v>
      </c>
    </row>
    <row r="29" spans="1:4" x14ac:dyDescent="0.3">
      <c r="A29" t="s">
        <v>531</v>
      </c>
      <c r="B29" t="s">
        <v>530</v>
      </c>
      <c r="D29" s="40">
        <v>42</v>
      </c>
    </row>
    <row r="30" spans="1:4" x14ac:dyDescent="0.3">
      <c r="A30" t="s">
        <v>669</v>
      </c>
      <c r="B30" t="s">
        <v>668</v>
      </c>
      <c r="D30" s="40">
        <v>45</v>
      </c>
    </row>
    <row r="31" spans="1:4" x14ac:dyDescent="0.3">
      <c r="A31" t="s">
        <v>987</v>
      </c>
      <c r="D31" s="40">
        <v>18</v>
      </c>
    </row>
    <row r="32" spans="1:4" x14ac:dyDescent="0.3">
      <c r="A32" t="s">
        <v>986</v>
      </c>
      <c r="B32" t="s">
        <v>985</v>
      </c>
      <c r="D32" s="40">
        <v>14</v>
      </c>
    </row>
    <row r="33" spans="1:4" x14ac:dyDescent="0.3">
      <c r="A33" t="s">
        <v>707</v>
      </c>
      <c r="B33" t="s">
        <v>706</v>
      </c>
      <c r="D33" s="40">
        <v>45</v>
      </c>
    </row>
    <row r="34" spans="1:4" x14ac:dyDescent="0.3">
      <c r="A34" t="s">
        <v>705</v>
      </c>
      <c r="B34" t="s">
        <v>704</v>
      </c>
      <c r="D34" s="40">
        <v>35</v>
      </c>
    </row>
    <row r="35" spans="1:4" x14ac:dyDescent="0.3">
      <c r="A35" t="s">
        <v>703</v>
      </c>
      <c r="B35" t="s">
        <v>702</v>
      </c>
      <c r="D35" s="40">
        <v>26</v>
      </c>
    </row>
    <row r="36" spans="1:4" x14ac:dyDescent="0.3">
      <c r="A36" t="s">
        <v>701</v>
      </c>
      <c r="B36" t="s">
        <v>700</v>
      </c>
      <c r="D36" s="40">
        <v>18.8</v>
      </c>
    </row>
    <row r="37" spans="1:4" x14ac:dyDescent="0.3">
      <c r="A37" t="s">
        <v>699</v>
      </c>
      <c r="B37" t="s">
        <v>698</v>
      </c>
      <c r="D37" s="40">
        <v>13.5</v>
      </c>
    </row>
    <row r="38" spans="1:4" x14ac:dyDescent="0.3">
      <c r="A38" t="s">
        <v>667</v>
      </c>
      <c r="B38" t="s">
        <v>666</v>
      </c>
      <c r="D38" s="40">
        <v>29</v>
      </c>
    </row>
    <row r="39" spans="1:4" x14ac:dyDescent="0.3">
      <c r="A39" t="s">
        <v>661</v>
      </c>
      <c r="B39" t="s">
        <v>660</v>
      </c>
      <c r="D39" s="40">
        <v>29</v>
      </c>
    </row>
    <row r="40" spans="1:4" x14ac:dyDescent="0.3">
      <c r="A40" t="s">
        <v>601</v>
      </c>
      <c r="B40" t="s">
        <v>600</v>
      </c>
      <c r="D40" s="40">
        <v>35</v>
      </c>
    </row>
    <row r="41" spans="1:4" x14ac:dyDescent="0.3">
      <c r="A41" t="s">
        <v>972</v>
      </c>
      <c r="B41" t="s">
        <v>971</v>
      </c>
      <c r="D41" s="40">
        <v>25</v>
      </c>
    </row>
    <row r="42" spans="1:4" x14ac:dyDescent="0.3">
      <c r="A42" t="s">
        <v>878</v>
      </c>
      <c r="B42" t="s">
        <v>877</v>
      </c>
      <c r="D42" s="40">
        <v>55</v>
      </c>
    </row>
    <row r="43" spans="1:4" x14ac:dyDescent="0.3">
      <c r="A43" t="s">
        <v>637</v>
      </c>
      <c r="B43" t="s">
        <v>636</v>
      </c>
      <c r="D43" s="40">
        <v>32</v>
      </c>
    </row>
    <row r="44" spans="1:4" x14ac:dyDescent="0.3">
      <c r="A44" t="s">
        <v>635</v>
      </c>
      <c r="B44" t="s">
        <v>634</v>
      </c>
      <c r="D44" s="40">
        <v>28</v>
      </c>
    </row>
    <row r="45" spans="1:4" x14ac:dyDescent="0.3">
      <c r="A45" t="s">
        <v>665</v>
      </c>
      <c r="B45" t="s">
        <v>664</v>
      </c>
      <c r="D45" s="40">
        <v>18</v>
      </c>
    </row>
    <row r="46" spans="1:4" x14ac:dyDescent="0.3">
      <c r="A46" t="s">
        <v>687</v>
      </c>
      <c r="B46" t="s">
        <v>686</v>
      </c>
      <c r="D46" s="40">
        <v>45</v>
      </c>
    </row>
    <row r="47" spans="1:4" x14ac:dyDescent="0.3">
      <c r="A47" t="s">
        <v>671</v>
      </c>
      <c r="B47" t="s">
        <v>670</v>
      </c>
      <c r="D47" s="40">
        <v>15</v>
      </c>
    </row>
    <row r="48" spans="1:4" x14ac:dyDescent="0.3">
      <c r="A48" t="s">
        <v>495</v>
      </c>
      <c r="B48" t="s">
        <v>494</v>
      </c>
      <c r="D48" s="40">
        <v>52</v>
      </c>
    </row>
    <row r="49" spans="1:4" x14ac:dyDescent="0.3">
      <c r="A49" t="s">
        <v>493</v>
      </c>
      <c r="B49" t="s">
        <v>492</v>
      </c>
      <c r="D49" s="40">
        <v>42</v>
      </c>
    </row>
    <row r="50" spans="1:4" x14ac:dyDescent="0.3">
      <c r="A50" t="s">
        <v>491</v>
      </c>
      <c r="B50" t="s">
        <v>490</v>
      </c>
      <c r="D50" s="40">
        <v>27</v>
      </c>
    </row>
    <row r="51" spans="1:4" x14ac:dyDescent="0.3">
      <c r="A51" t="s">
        <v>401</v>
      </c>
      <c r="B51" t="s">
        <v>400</v>
      </c>
      <c r="D51" s="40">
        <v>12</v>
      </c>
    </row>
    <row r="52" spans="1:4" x14ac:dyDescent="0.3">
      <c r="A52" t="s">
        <v>415</v>
      </c>
      <c r="B52" t="s">
        <v>414</v>
      </c>
      <c r="D52" s="40">
        <v>12</v>
      </c>
    </row>
    <row r="53" spans="1:4" x14ac:dyDescent="0.3">
      <c r="A53" t="s">
        <v>403</v>
      </c>
      <c r="B53" t="s">
        <v>402</v>
      </c>
      <c r="D53" s="40">
        <v>12</v>
      </c>
    </row>
    <row r="54" spans="1:4" x14ac:dyDescent="0.3">
      <c r="A54" t="s">
        <v>425</v>
      </c>
      <c r="B54" t="s">
        <v>424</v>
      </c>
      <c r="D54" s="40">
        <v>12</v>
      </c>
    </row>
    <row r="55" spans="1:4" x14ac:dyDescent="0.3">
      <c r="A55" t="s">
        <v>413</v>
      </c>
      <c r="B55" t="s">
        <v>412</v>
      </c>
      <c r="D55" s="40">
        <v>12</v>
      </c>
    </row>
    <row r="56" spans="1:4" x14ac:dyDescent="0.3">
      <c r="A56" t="s">
        <v>423</v>
      </c>
      <c r="B56" t="s">
        <v>422</v>
      </c>
      <c r="D56" s="40">
        <v>12</v>
      </c>
    </row>
    <row r="57" spans="1:4" x14ac:dyDescent="0.3">
      <c r="A57" t="s">
        <v>411</v>
      </c>
      <c r="B57" t="s">
        <v>410</v>
      </c>
      <c r="D57" s="40">
        <v>12</v>
      </c>
    </row>
    <row r="58" spans="1:4" x14ac:dyDescent="0.3">
      <c r="A58" t="s">
        <v>421</v>
      </c>
      <c r="B58" t="s">
        <v>420</v>
      </c>
      <c r="D58" s="40">
        <v>12</v>
      </c>
    </row>
    <row r="59" spans="1:4" x14ac:dyDescent="0.3">
      <c r="A59" t="s">
        <v>409</v>
      </c>
      <c r="B59" t="s">
        <v>408</v>
      </c>
      <c r="D59" s="40">
        <v>12</v>
      </c>
    </row>
    <row r="60" spans="1:4" x14ac:dyDescent="0.3">
      <c r="A60" t="s">
        <v>419</v>
      </c>
      <c r="B60" t="s">
        <v>418</v>
      </c>
      <c r="D60" s="40">
        <v>12</v>
      </c>
    </row>
    <row r="61" spans="1:4" x14ac:dyDescent="0.3">
      <c r="A61" t="s">
        <v>407</v>
      </c>
      <c r="B61" t="s">
        <v>406</v>
      </c>
      <c r="D61" s="40">
        <v>12</v>
      </c>
    </row>
    <row r="62" spans="1:4" x14ac:dyDescent="0.3">
      <c r="A62" t="s">
        <v>417</v>
      </c>
      <c r="B62" t="s">
        <v>416</v>
      </c>
      <c r="D62" s="40">
        <v>12</v>
      </c>
    </row>
    <row r="63" spans="1:4" x14ac:dyDescent="0.3">
      <c r="A63" t="s">
        <v>405</v>
      </c>
      <c r="B63" t="s">
        <v>404</v>
      </c>
      <c r="D63" s="40">
        <v>12</v>
      </c>
    </row>
    <row r="64" spans="1:4" x14ac:dyDescent="0.3">
      <c r="A64" t="s">
        <v>557</v>
      </c>
      <c r="B64" t="s">
        <v>556</v>
      </c>
      <c r="D64" s="40">
        <v>55</v>
      </c>
    </row>
    <row r="65" spans="1:4" x14ac:dyDescent="0.3">
      <c r="A65" t="s">
        <v>984</v>
      </c>
      <c r="B65" t="s">
        <v>983</v>
      </c>
      <c r="D65" s="40">
        <v>120</v>
      </c>
    </row>
    <row r="66" spans="1:4" x14ac:dyDescent="0.3">
      <c r="A66" t="s">
        <v>399</v>
      </c>
      <c r="B66" t="s">
        <v>398</v>
      </c>
      <c r="D66" s="40">
        <v>138</v>
      </c>
    </row>
    <row r="67" spans="1:4" x14ac:dyDescent="0.3">
      <c r="A67" t="s">
        <v>455</v>
      </c>
      <c r="B67" t="s">
        <v>454</v>
      </c>
      <c r="D67" s="40">
        <v>19</v>
      </c>
    </row>
    <row r="68" spans="1:4" x14ac:dyDescent="0.3">
      <c r="A68" t="s">
        <v>529</v>
      </c>
      <c r="B68" t="s">
        <v>528</v>
      </c>
      <c r="D68" s="40">
        <v>92</v>
      </c>
    </row>
    <row r="69" spans="1:4" x14ac:dyDescent="0.3">
      <c r="A69" t="s">
        <v>527</v>
      </c>
      <c r="B69" t="s">
        <v>526</v>
      </c>
      <c r="D69" s="40">
        <v>43</v>
      </c>
    </row>
    <row r="70" spans="1:4" x14ac:dyDescent="0.3">
      <c r="A70" t="s">
        <v>513</v>
      </c>
      <c r="B70" t="s">
        <v>512</v>
      </c>
      <c r="D70" s="40">
        <v>59</v>
      </c>
    </row>
    <row r="71" spans="1:4" x14ac:dyDescent="0.3">
      <c r="A71" t="s">
        <v>519</v>
      </c>
      <c r="B71" t="s">
        <v>518</v>
      </c>
      <c r="D71" s="40">
        <v>120</v>
      </c>
    </row>
    <row r="72" spans="1:4" x14ac:dyDescent="0.3">
      <c r="A72" t="s">
        <v>305</v>
      </c>
      <c r="B72" t="s">
        <v>304</v>
      </c>
      <c r="D72" s="40">
        <v>52</v>
      </c>
    </row>
    <row r="73" spans="1:4" x14ac:dyDescent="0.3">
      <c r="A73" t="s">
        <v>309</v>
      </c>
      <c r="B73" t="s">
        <v>308</v>
      </c>
      <c r="D73" s="40">
        <v>9.5</v>
      </c>
    </row>
    <row r="74" spans="1:4" x14ac:dyDescent="0.3">
      <c r="A74" t="s">
        <v>311</v>
      </c>
      <c r="B74" t="s">
        <v>310</v>
      </c>
      <c r="D74" s="40">
        <v>9.5</v>
      </c>
    </row>
    <row r="75" spans="1:4" x14ac:dyDescent="0.3">
      <c r="A75" t="s">
        <v>515</v>
      </c>
      <c r="B75" t="s">
        <v>514</v>
      </c>
      <c r="D75" s="40">
        <v>110</v>
      </c>
    </row>
    <row r="76" spans="1:4" x14ac:dyDescent="0.3">
      <c r="A76" t="s">
        <v>968</v>
      </c>
      <c r="B76" t="s">
        <v>967</v>
      </c>
      <c r="D76" s="40">
        <v>28</v>
      </c>
    </row>
    <row r="77" spans="1:4" x14ac:dyDescent="0.3">
      <c r="A77" t="s">
        <v>603</v>
      </c>
      <c r="B77" t="s">
        <v>602</v>
      </c>
      <c r="D77" s="40">
        <v>269</v>
      </c>
    </row>
    <row r="78" spans="1:4" x14ac:dyDescent="0.3">
      <c r="A78" t="s">
        <v>611</v>
      </c>
      <c r="B78" t="s">
        <v>610</v>
      </c>
      <c r="D78" s="40">
        <v>179</v>
      </c>
    </row>
    <row r="79" spans="1:4" x14ac:dyDescent="0.3">
      <c r="A79" t="s">
        <v>613</v>
      </c>
      <c r="B79" t="s">
        <v>612</v>
      </c>
      <c r="D79" s="40">
        <v>385</v>
      </c>
    </row>
    <row r="80" spans="1:4" x14ac:dyDescent="0.3">
      <c r="A80" t="s">
        <v>609</v>
      </c>
      <c r="B80" t="s">
        <v>608</v>
      </c>
      <c r="D80" s="40">
        <v>79</v>
      </c>
    </row>
    <row r="81" spans="1:4" x14ac:dyDescent="0.3">
      <c r="A81" t="s">
        <v>203</v>
      </c>
      <c r="B81" t="s">
        <v>202</v>
      </c>
      <c r="D81" s="40">
        <v>9.5</v>
      </c>
    </row>
    <row r="82" spans="1:4" x14ac:dyDescent="0.3">
      <c r="A82" t="s">
        <v>201</v>
      </c>
      <c r="B82" t="s">
        <v>200</v>
      </c>
      <c r="D82" s="40">
        <v>5</v>
      </c>
    </row>
    <row r="83" spans="1:4" x14ac:dyDescent="0.3">
      <c r="A83" t="s">
        <v>577</v>
      </c>
      <c r="B83" t="s">
        <v>576</v>
      </c>
      <c r="D83" s="40">
        <v>250</v>
      </c>
    </row>
    <row r="84" spans="1:4" x14ac:dyDescent="0.3">
      <c r="A84" t="s">
        <v>117</v>
      </c>
      <c r="B84" t="s">
        <v>116</v>
      </c>
      <c r="D84" s="40">
        <v>90</v>
      </c>
    </row>
    <row r="85" spans="1:4" x14ac:dyDescent="0.3">
      <c r="A85" t="s">
        <v>663</v>
      </c>
      <c r="B85" t="s">
        <v>662</v>
      </c>
      <c r="D85" s="40">
        <v>18</v>
      </c>
    </row>
    <row r="86" spans="1:4" x14ac:dyDescent="0.3">
      <c r="A86" t="s">
        <v>589</v>
      </c>
      <c r="B86" t="s">
        <v>588</v>
      </c>
      <c r="D86" s="40">
        <v>250</v>
      </c>
    </row>
    <row r="87" spans="1:4" x14ac:dyDescent="0.3">
      <c r="A87" t="s">
        <v>851</v>
      </c>
      <c r="B87" t="s">
        <v>850</v>
      </c>
      <c r="D87" s="40">
        <v>39</v>
      </c>
    </row>
    <row r="88" spans="1:4" x14ac:dyDescent="0.3">
      <c r="A88" t="s">
        <v>583</v>
      </c>
      <c r="B88" t="s">
        <v>582</v>
      </c>
      <c r="D88" s="40">
        <v>189</v>
      </c>
    </row>
    <row r="89" spans="1:4" x14ac:dyDescent="0.3">
      <c r="A89" t="s">
        <v>505</v>
      </c>
      <c r="B89" t="s">
        <v>504</v>
      </c>
      <c r="D89" s="40">
        <v>40</v>
      </c>
    </row>
    <row r="90" spans="1:4" x14ac:dyDescent="0.3">
      <c r="A90" t="s">
        <v>503</v>
      </c>
      <c r="B90" t="s">
        <v>502</v>
      </c>
      <c r="D90" s="40">
        <v>23</v>
      </c>
    </row>
    <row r="91" spans="1:4" x14ac:dyDescent="0.3">
      <c r="A91" t="s">
        <v>787</v>
      </c>
      <c r="B91" t="s">
        <v>786</v>
      </c>
      <c r="D91" s="40">
        <v>18</v>
      </c>
    </row>
    <row r="92" spans="1:4" x14ac:dyDescent="0.3">
      <c r="A92" t="s">
        <v>327</v>
      </c>
      <c r="B92" t="s">
        <v>326</v>
      </c>
      <c r="D92" s="40">
        <v>15</v>
      </c>
    </row>
    <row r="93" spans="1:4" x14ac:dyDescent="0.3">
      <c r="A93" t="s">
        <v>471</v>
      </c>
      <c r="B93" t="s">
        <v>470</v>
      </c>
      <c r="D93" s="40">
        <v>29</v>
      </c>
    </row>
    <row r="94" spans="1:4" x14ac:dyDescent="0.3">
      <c r="A94" t="s">
        <v>469</v>
      </c>
      <c r="B94" t="s">
        <v>468</v>
      </c>
      <c r="D94" s="40">
        <v>29</v>
      </c>
    </row>
    <row r="95" spans="1:4" x14ac:dyDescent="0.3">
      <c r="A95" t="s">
        <v>849</v>
      </c>
      <c r="B95" t="s">
        <v>848</v>
      </c>
      <c r="D95" s="40">
        <v>46</v>
      </c>
    </row>
    <row r="96" spans="1:4" x14ac:dyDescent="0.3">
      <c r="A96" t="s">
        <v>653</v>
      </c>
      <c r="B96" t="s">
        <v>652</v>
      </c>
      <c r="D96" s="40">
        <v>15</v>
      </c>
    </row>
    <row r="97" spans="1:4" x14ac:dyDescent="0.3">
      <c r="A97" t="s">
        <v>685</v>
      </c>
      <c r="B97" t="s">
        <v>684</v>
      </c>
      <c r="D97" s="40">
        <v>55</v>
      </c>
    </row>
    <row r="98" spans="1:4" x14ac:dyDescent="0.3">
      <c r="A98" t="s">
        <v>489</v>
      </c>
      <c r="B98" t="s">
        <v>488</v>
      </c>
      <c r="D98" s="40">
        <v>69</v>
      </c>
    </row>
    <row r="99" spans="1:4" x14ac:dyDescent="0.3">
      <c r="A99" t="s">
        <v>487</v>
      </c>
      <c r="B99" t="s">
        <v>486</v>
      </c>
      <c r="D99" s="40">
        <v>52</v>
      </c>
    </row>
    <row r="100" spans="1:4" x14ac:dyDescent="0.3">
      <c r="A100" t="s">
        <v>181</v>
      </c>
      <c r="B100" t="s">
        <v>180</v>
      </c>
      <c r="D100" s="40">
        <v>34.5</v>
      </c>
    </row>
    <row r="101" spans="1:4" x14ac:dyDescent="0.3">
      <c r="A101" t="s">
        <v>183</v>
      </c>
      <c r="B101" t="s">
        <v>182</v>
      </c>
      <c r="D101" s="40">
        <v>44</v>
      </c>
    </row>
    <row r="102" spans="1:4" x14ac:dyDescent="0.3">
      <c r="A102" t="s">
        <v>761</v>
      </c>
      <c r="B102" t="s">
        <v>760</v>
      </c>
      <c r="D102" s="40">
        <v>8</v>
      </c>
    </row>
    <row r="103" spans="1:4" x14ac:dyDescent="0.3">
      <c r="A103" t="s">
        <v>757</v>
      </c>
      <c r="B103" t="s">
        <v>756</v>
      </c>
      <c r="D103" s="40">
        <v>8</v>
      </c>
    </row>
    <row r="104" spans="1:4" x14ac:dyDescent="0.3">
      <c r="A104" t="s">
        <v>759</v>
      </c>
      <c r="B104" t="s">
        <v>758</v>
      </c>
      <c r="D104" s="40">
        <v>8</v>
      </c>
    </row>
    <row r="105" spans="1:4" x14ac:dyDescent="0.3">
      <c r="A105" t="s">
        <v>767</v>
      </c>
      <c r="B105" t="s">
        <v>766</v>
      </c>
      <c r="D105" s="40">
        <v>8</v>
      </c>
    </row>
    <row r="106" spans="1:4" x14ac:dyDescent="0.3">
      <c r="A106" t="s">
        <v>765</v>
      </c>
      <c r="B106" t="s">
        <v>764</v>
      </c>
      <c r="D106" s="40">
        <v>8</v>
      </c>
    </row>
    <row r="107" spans="1:4" x14ac:dyDescent="0.3">
      <c r="A107" t="s">
        <v>763</v>
      </c>
      <c r="B107" t="s">
        <v>762</v>
      </c>
      <c r="D107" s="40">
        <v>8</v>
      </c>
    </row>
    <row r="108" spans="1:4" x14ac:dyDescent="0.3">
      <c r="A108" t="s">
        <v>755</v>
      </c>
      <c r="B108" t="s">
        <v>754</v>
      </c>
      <c r="D108" s="40">
        <v>8</v>
      </c>
    </row>
    <row r="109" spans="1:4" x14ac:dyDescent="0.3">
      <c r="A109" t="s">
        <v>817</v>
      </c>
      <c r="B109" t="s">
        <v>816</v>
      </c>
      <c r="D109" s="40">
        <v>165</v>
      </c>
    </row>
    <row r="110" spans="1:4" x14ac:dyDescent="0.3">
      <c r="A110" t="s">
        <v>821</v>
      </c>
      <c r="B110" t="s">
        <v>820</v>
      </c>
      <c r="D110" s="40">
        <v>140</v>
      </c>
    </row>
    <row r="111" spans="1:4" x14ac:dyDescent="0.3">
      <c r="A111" t="s">
        <v>781</v>
      </c>
      <c r="B111" t="s">
        <v>780</v>
      </c>
      <c r="D111" s="40">
        <v>12</v>
      </c>
    </row>
    <row r="112" spans="1:4" x14ac:dyDescent="0.3">
      <c r="A112" t="s">
        <v>783</v>
      </c>
      <c r="B112" t="s">
        <v>782</v>
      </c>
      <c r="D112" s="40">
        <v>17</v>
      </c>
    </row>
    <row r="113" spans="1:4" x14ac:dyDescent="0.3">
      <c r="A113" t="s">
        <v>880</v>
      </c>
      <c r="B113" t="s">
        <v>879</v>
      </c>
      <c r="D113" s="40">
        <v>125</v>
      </c>
    </row>
    <row r="114" spans="1:4" x14ac:dyDescent="0.3">
      <c r="A114" t="s">
        <v>199</v>
      </c>
      <c r="B114" t="s">
        <v>198</v>
      </c>
      <c r="D114" s="40">
        <v>49</v>
      </c>
    </row>
    <row r="115" spans="1:4" x14ac:dyDescent="0.3">
      <c r="A115" t="s">
        <v>179</v>
      </c>
      <c r="B115" t="s">
        <v>178</v>
      </c>
      <c r="D115" s="40">
        <v>42</v>
      </c>
    </row>
    <row r="116" spans="1:4" x14ac:dyDescent="0.3">
      <c r="A116" t="s">
        <v>920</v>
      </c>
      <c r="B116" t="s">
        <v>919</v>
      </c>
      <c r="D116" s="40">
        <v>75</v>
      </c>
    </row>
    <row r="117" spans="1:4" x14ac:dyDescent="0.3">
      <c r="A117" t="s">
        <v>775</v>
      </c>
      <c r="B117" t="s">
        <v>774</v>
      </c>
      <c r="D117" s="40">
        <v>12</v>
      </c>
    </row>
    <row r="118" spans="1:4" x14ac:dyDescent="0.3">
      <c r="A118" t="s">
        <v>651</v>
      </c>
      <c r="B118" t="s">
        <v>650</v>
      </c>
      <c r="D118" s="40">
        <v>49</v>
      </c>
    </row>
    <row r="119" spans="1:4" x14ac:dyDescent="0.3">
      <c r="A119" t="s">
        <v>273</v>
      </c>
      <c r="B119" t="s">
        <v>272</v>
      </c>
      <c r="D119" s="40">
        <v>39</v>
      </c>
    </row>
    <row r="120" spans="1:4" x14ac:dyDescent="0.3">
      <c r="A120" t="s">
        <v>275</v>
      </c>
      <c r="B120" t="s">
        <v>274</v>
      </c>
      <c r="D120" s="40">
        <v>39</v>
      </c>
    </row>
    <row r="121" spans="1:4" x14ac:dyDescent="0.3">
      <c r="A121" t="s">
        <v>277</v>
      </c>
      <c r="B121" t="s">
        <v>276</v>
      </c>
      <c r="D121" s="40">
        <v>98</v>
      </c>
    </row>
    <row r="122" spans="1:4" x14ac:dyDescent="0.3">
      <c r="A122" t="s">
        <v>279</v>
      </c>
      <c r="B122" t="s">
        <v>278</v>
      </c>
      <c r="D122" s="40">
        <v>98</v>
      </c>
    </row>
    <row r="123" spans="1:4" x14ac:dyDescent="0.3">
      <c r="A123" t="s">
        <v>289</v>
      </c>
      <c r="B123" t="s">
        <v>288</v>
      </c>
      <c r="D123" s="40">
        <v>39</v>
      </c>
    </row>
    <row r="124" spans="1:4" x14ac:dyDescent="0.3">
      <c r="A124" t="s">
        <v>291</v>
      </c>
      <c r="B124" t="s">
        <v>290</v>
      </c>
      <c r="D124" s="40">
        <v>39</v>
      </c>
    </row>
    <row r="125" spans="1:4" x14ac:dyDescent="0.3">
      <c r="A125" t="s">
        <v>465</v>
      </c>
      <c r="B125" t="s">
        <v>464</v>
      </c>
      <c r="D125" s="40">
        <v>22</v>
      </c>
    </row>
    <row r="126" spans="1:4" x14ac:dyDescent="0.3">
      <c r="A126" t="s">
        <v>373</v>
      </c>
      <c r="B126" t="s">
        <v>372</v>
      </c>
      <c r="D126" s="40">
        <v>21</v>
      </c>
    </row>
    <row r="127" spans="1:4" x14ac:dyDescent="0.3">
      <c r="A127" t="s">
        <v>377</v>
      </c>
      <c r="B127" t="s">
        <v>376</v>
      </c>
      <c r="D127" s="40">
        <v>21</v>
      </c>
    </row>
    <row r="128" spans="1:4" x14ac:dyDescent="0.3">
      <c r="A128" t="s">
        <v>375</v>
      </c>
      <c r="B128" t="s">
        <v>374</v>
      </c>
      <c r="D128" s="40">
        <v>21</v>
      </c>
    </row>
    <row r="129" spans="1:4" x14ac:dyDescent="0.3">
      <c r="A129" t="s">
        <v>371</v>
      </c>
      <c r="B129" t="s">
        <v>370</v>
      </c>
      <c r="D129" s="40">
        <v>21</v>
      </c>
    </row>
    <row r="130" spans="1:4" x14ac:dyDescent="0.3">
      <c r="A130" t="s">
        <v>323</v>
      </c>
      <c r="B130" t="s">
        <v>322</v>
      </c>
      <c r="D130" s="40">
        <v>19</v>
      </c>
    </row>
    <row r="131" spans="1:4" x14ac:dyDescent="0.3">
      <c r="A131" t="s">
        <v>243</v>
      </c>
      <c r="B131" t="s">
        <v>242</v>
      </c>
      <c r="D131" s="40">
        <v>16.5</v>
      </c>
    </row>
    <row r="132" spans="1:4" x14ac:dyDescent="0.3">
      <c r="A132" t="s">
        <v>239</v>
      </c>
      <c r="B132" t="s">
        <v>238</v>
      </c>
      <c r="D132" s="40">
        <v>16.5</v>
      </c>
    </row>
    <row r="133" spans="1:4" x14ac:dyDescent="0.3">
      <c r="A133" t="s">
        <v>245</v>
      </c>
      <c r="B133" t="s">
        <v>244</v>
      </c>
      <c r="D133" s="40">
        <v>16.5</v>
      </c>
    </row>
    <row r="134" spans="1:4" x14ac:dyDescent="0.3">
      <c r="A134" t="s">
        <v>241</v>
      </c>
      <c r="B134" t="s">
        <v>240</v>
      </c>
      <c r="D134" s="40">
        <v>16.5</v>
      </c>
    </row>
    <row r="135" spans="1:4" x14ac:dyDescent="0.3">
      <c r="A135" t="s">
        <v>235</v>
      </c>
      <c r="B135" t="s">
        <v>234</v>
      </c>
      <c r="D135" s="40">
        <v>16.5</v>
      </c>
    </row>
    <row r="136" spans="1:4" x14ac:dyDescent="0.3">
      <c r="A136" t="s">
        <v>237</v>
      </c>
      <c r="B136" t="s">
        <v>236</v>
      </c>
      <c r="D136" s="40">
        <v>16.5</v>
      </c>
    </row>
    <row r="137" spans="1:4" x14ac:dyDescent="0.3">
      <c r="A137" t="s">
        <v>247</v>
      </c>
      <c r="B137" t="s">
        <v>246</v>
      </c>
      <c r="D137" s="40">
        <v>16.5</v>
      </c>
    </row>
    <row r="138" spans="1:4" x14ac:dyDescent="0.3">
      <c r="A138" t="s">
        <v>249</v>
      </c>
      <c r="B138" t="s">
        <v>248</v>
      </c>
      <c r="D138" s="40">
        <v>16.5</v>
      </c>
    </row>
    <row r="139" spans="1:4" x14ac:dyDescent="0.3">
      <c r="A139" t="s">
        <v>283</v>
      </c>
      <c r="B139" t="s">
        <v>282</v>
      </c>
      <c r="D139" s="40">
        <v>129</v>
      </c>
    </row>
    <row r="140" spans="1:4" x14ac:dyDescent="0.3">
      <c r="A140" t="s">
        <v>281</v>
      </c>
      <c r="B140" t="s">
        <v>280</v>
      </c>
      <c r="D140" s="40">
        <v>129</v>
      </c>
    </row>
    <row r="141" spans="1:4" x14ac:dyDescent="0.3">
      <c r="A141" t="s">
        <v>265</v>
      </c>
      <c r="B141" t="s">
        <v>264</v>
      </c>
      <c r="D141" s="40">
        <v>29</v>
      </c>
    </row>
    <row r="142" spans="1:4" x14ac:dyDescent="0.3">
      <c r="A142" t="s">
        <v>267</v>
      </c>
      <c r="B142" t="s">
        <v>266</v>
      </c>
      <c r="D142" s="40">
        <v>29</v>
      </c>
    </row>
    <row r="143" spans="1:4" x14ac:dyDescent="0.3">
      <c r="A143" t="s">
        <v>269</v>
      </c>
      <c r="B143" t="s">
        <v>268</v>
      </c>
      <c r="D143" s="40">
        <v>34</v>
      </c>
    </row>
    <row r="144" spans="1:4" x14ac:dyDescent="0.3">
      <c r="A144" t="s">
        <v>271</v>
      </c>
      <c r="B144" t="s">
        <v>270</v>
      </c>
      <c r="D144" s="40">
        <v>34</v>
      </c>
    </row>
    <row r="145" spans="1:4" x14ac:dyDescent="0.3">
      <c r="A145" t="s">
        <v>833</v>
      </c>
      <c r="B145" t="s">
        <v>832</v>
      </c>
      <c r="D145" s="40">
        <v>55</v>
      </c>
    </row>
    <row r="146" spans="1:4" x14ac:dyDescent="0.3">
      <c r="A146" t="s">
        <v>565</v>
      </c>
      <c r="B146" t="s">
        <v>564</v>
      </c>
      <c r="D146" s="40">
        <v>245</v>
      </c>
    </row>
    <row r="147" spans="1:4" x14ac:dyDescent="0.3">
      <c r="A147" t="s">
        <v>571</v>
      </c>
      <c r="B147" t="s">
        <v>570</v>
      </c>
      <c r="D147" s="40">
        <v>179</v>
      </c>
    </row>
    <row r="148" spans="1:4" x14ac:dyDescent="0.3">
      <c r="A148" t="s">
        <v>569</v>
      </c>
      <c r="B148" t="s">
        <v>568</v>
      </c>
      <c r="D148" s="40">
        <v>255</v>
      </c>
    </row>
    <row r="149" spans="1:4" x14ac:dyDescent="0.3">
      <c r="A149" t="s">
        <v>355</v>
      </c>
      <c r="B149" t="s">
        <v>354</v>
      </c>
      <c r="D149" s="40">
        <v>8</v>
      </c>
    </row>
    <row r="150" spans="1:4" x14ac:dyDescent="0.3">
      <c r="A150" t="s">
        <v>353</v>
      </c>
      <c r="B150" t="s">
        <v>352</v>
      </c>
      <c r="D150" s="40">
        <v>8</v>
      </c>
    </row>
    <row r="151" spans="1:4" x14ac:dyDescent="0.3">
      <c r="A151" t="s">
        <v>357</v>
      </c>
      <c r="B151" t="s">
        <v>356</v>
      </c>
      <c r="D151" s="40">
        <v>8</v>
      </c>
    </row>
    <row r="152" spans="1:4" x14ac:dyDescent="0.3">
      <c r="A152" t="s">
        <v>956</v>
      </c>
      <c r="B152" t="s">
        <v>955</v>
      </c>
      <c r="D152" s="40">
        <v>32</v>
      </c>
    </row>
    <row r="153" spans="1:4" x14ac:dyDescent="0.3">
      <c r="A153" t="s">
        <v>551</v>
      </c>
      <c r="B153" t="s">
        <v>550</v>
      </c>
      <c r="D153" s="40">
        <v>77</v>
      </c>
    </row>
    <row r="154" spans="1:4" x14ac:dyDescent="0.3">
      <c r="A154" t="s">
        <v>549</v>
      </c>
      <c r="B154" t="s">
        <v>548</v>
      </c>
      <c r="D154" s="40">
        <v>49</v>
      </c>
    </row>
    <row r="155" spans="1:4" x14ac:dyDescent="0.3">
      <c r="A155" t="s">
        <v>559</v>
      </c>
      <c r="B155" t="s">
        <v>558</v>
      </c>
      <c r="D155" s="40">
        <v>98</v>
      </c>
    </row>
    <row r="156" spans="1:4" x14ac:dyDescent="0.3">
      <c r="A156" t="s">
        <v>477</v>
      </c>
      <c r="B156" t="s">
        <v>476</v>
      </c>
      <c r="D156" s="40">
        <v>18</v>
      </c>
    </row>
    <row r="157" spans="1:4" x14ac:dyDescent="0.3">
      <c r="A157" t="s">
        <v>475</v>
      </c>
      <c r="B157" t="s">
        <v>474</v>
      </c>
      <c r="D157" s="40">
        <v>18</v>
      </c>
    </row>
    <row r="158" spans="1:4" x14ac:dyDescent="0.3">
      <c r="A158" t="s">
        <v>473</v>
      </c>
      <c r="B158" t="s">
        <v>472</v>
      </c>
      <c r="D158" s="40">
        <v>18</v>
      </c>
    </row>
    <row r="159" spans="1:4" x14ac:dyDescent="0.3">
      <c r="A159" t="s">
        <v>301</v>
      </c>
      <c r="B159" t="s">
        <v>300</v>
      </c>
      <c r="D159" s="40">
        <v>39</v>
      </c>
    </row>
    <row r="160" spans="1:4" x14ac:dyDescent="0.3">
      <c r="A160" t="s">
        <v>303</v>
      </c>
      <c r="B160" t="s">
        <v>302</v>
      </c>
      <c r="D160" s="40">
        <v>39</v>
      </c>
    </row>
    <row r="161" spans="1:4" x14ac:dyDescent="0.3">
      <c r="A161" t="s">
        <v>293</v>
      </c>
      <c r="B161" t="s">
        <v>292</v>
      </c>
      <c r="D161" s="40">
        <v>39</v>
      </c>
    </row>
    <row r="162" spans="1:4" x14ac:dyDescent="0.3">
      <c r="A162" t="s">
        <v>295</v>
      </c>
      <c r="B162" t="s">
        <v>294</v>
      </c>
      <c r="D162" s="40">
        <v>39</v>
      </c>
    </row>
    <row r="163" spans="1:4" x14ac:dyDescent="0.3">
      <c r="A163" t="s">
        <v>321</v>
      </c>
      <c r="B163" t="s">
        <v>320</v>
      </c>
      <c r="D163" s="40">
        <v>46</v>
      </c>
    </row>
    <row r="164" spans="1:4" x14ac:dyDescent="0.3">
      <c r="A164" t="s">
        <v>329</v>
      </c>
      <c r="B164" t="s">
        <v>328</v>
      </c>
      <c r="D164" s="40">
        <v>46</v>
      </c>
    </row>
    <row r="165" spans="1:4" x14ac:dyDescent="0.3">
      <c r="A165" t="s">
        <v>297</v>
      </c>
      <c r="B165" t="s">
        <v>296</v>
      </c>
      <c r="D165" s="40">
        <v>16</v>
      </c>
    </row>
    <row r="166" spans="1:4" x14ac:dyDescent="0.3">
      <c r="A166" t="s">
        <v>299</v>
      </c>
      <c r="B166" t="s">
        <v>298</v>
      </c>
      <c r="D166" s="40">
        <v>16</v>
      </c>
    </row>
    <row r="167" spans="1:4" x14ac:dyDescent="0.3">
      <c r="A167" t="s">
        <v>205</v>
      </c>
      <c r="B167" t="s">
        <v>204</v>
      </c>
      <c r="D167" s="40">
        <v>19.5</v>
      </c>
    </row>
    <row r="168" spans="1:4" x14ac:dyDescent="0.3">
      <c r="A168" t="s">
        <v>545</v>
      </c>
      <c r="B168" t="s">
        <v>544</v>
      </c>
      <c r="D168" s="40">
        <v>42</v>
      </c>
    </row>
    <row r="169" spans="1:4" x14ac:dyDescent="0.3">
      <c r="A169" t="s">
        <v>547</v>
      </c>
      <c r="B169" t="s">
        <v>546</v>
      </c>
      <c r="D169" s="40">
        <v>29</v>
      </c>
    </row>
    <row r="170" spans="1:4" x14ac:dyDescent="0.3">
      <c r="A170" t="s">
        <v>335</v>
      </c>
      <c r="B170" t="s">
        <v>334</v>
      </c>
      <c r="D170" s="40">
        <v>13.5</v>
      </c>
    </row>
    <row r="171" spans="1:4" x14ac:dyDescent="0.3">
      <c r="A171" t="s">
        <v>467</v>
      </c>
      <c r="B171" t="s">
        <v>466</v>
      </c>
      <c r="D171" s="40">
        <v>8</v>
      </c>
    </row>
    <row r="172" spans="1:4" x14ac:dyDescent="0.3">
      <c r="A172" t="s">
        <v>457</v>
      </c>
      <c r="B172" t="s">
        <v>456</v>
      </c>
      <c r="D172" s="40">
        <v>11</v>
      </c>
    </row>
    <row r="173" spans="1:4" x14ac:dyDescent="0.3">
      <c r="A173" t="s">
        <v>645</v>
      </c>
      <c r="B173" t="s">
        <v>644</v>
      </c>
      <c r="D173" s="40">
        <v>15</v>
      </c>
    </row>
    <row r="174" spans="1:4" x14ac:dyDescent="0.3">
      <c r="A174" t="s">
        <v>869</v>
      </c>
      <c r="B174" t="s">
        <v>868</v>
      </c>
      <c r="D174" s="40">
        <v>8.5</v>
      </c>
    </row>
    <row r="175" spans="1:4" x14ac:dyDescent="0.3">
      <c r="A175" t="s">
        <v>865</v>
      </c>
      <c r="B175" t="s">
        <v>864</v>
      </c>
      <c r="D175" s="40">
        <v>8.5</v>
      </c>
    </row>
    <row r="176" spans="1:4" x14ac:dyDescent="0.3">
      <c r="A176" t="s">
        <v>873</v>
      </c>
      <c r="B176" t="s">
        <v>872</v>
      </c>
      <c r="D176" s="40">
        <v>15</v>
      </c>
    </row>
    <row r="177" spans="1:4" x14ac:dyDescent="0.3">
      <c r="A177" t="s">
        <v>871</v>
      </c>
      <c r="B177" t="s">
        <v>870</v>
      </c>
      <c r="D177" s="40">
        <v>10.5</v>
      </c>
    </row>
    <row r="178" spans="1:4" x14ac:dyDescent="0.3">
      <c r="A178" t="s">
        <v>863</v>
      </c>
      <c r="B178" t="s">
        <v>862</v>
      </c>
      <c r="D178" s="40">
        <v>7.5</v>
      </c>
    </row>
    <row r="179" spans="1:4" x14ac:dyDescent="0.3">
      <c r="A179" t="s">
        <v>867</v>
      </c>
      <c r="B179" t="s">
        <v>866</v>
      </c>
      <c r="D179" s="40">
        <v>9.5</v>
      </c>
    </row>
    <row r="180" spans="1:4" x14ac:dyDescent="0.3">
      <c r="A180" t="s">
        <v>867</v>
      </c>
      <c r="B180" t="s">
        <v>874</v>
      </c>
      <c r="D180" s="40">
        <v>15</v>
      </c>
    </row>
    <row r="181" spans="1:4" x14ac:dyDescent="0.3">
      <c r="A181" t="s">
        <v>807</v>
      </c>
      <c r="B181" t="s">
        <v>806</v>
      </c>
      <c r="D181" s="40">
        <v>340</v>
      </c>
    </row>
    <row r="182" spans="1:4" x14ac:dyDescent="0.3">
      <c r="A182" t="s">
        <v>599</v>
      </c>
      <c r="B182" t="s">
        <v>598</v>
      </c>
      <c r="D182" s="40">
        <v>365</v>
      </c>
    </row>
    <row r="183" spans="1:4" x14ac:dyDescent="0.3">
      <c r="A183" t="s">
        <v>561</v>
      </c>
      <c r="B183" t="s">
        <v>560</v>
      </c>
      <c r="D183" s="40">
        <v>225</v>
      </c>
    </row>
    <row r="184" spans="1:4" x14ac:dyDescent="0.3">
      <c r="A184" t="s">
        <v>581</v>
      </c>
      <c r="B184" t="s">
        <v>580</v>
      </c>
      <c r="D184" s="40">
        <v>175</v>
      </c>
    </row>
    <row r="185" spans="1:4" x14ac:dyDescent="0.3">
      <c r="A185" t="s">
        <v>585</v>
      </c>
      <c r="B185" t="s">
        <v>584</v>
      </c>
      <c r="D185" s="40">
        <v>395</v>
      </c>
    </row>
    <row r="186" spans="1:4" x14ac:dyDescent="0.3">
      <c r="A186" t="s">
        <v>587</v>
      </c>
      <c r="B186" t="s">
        <v>586</v>
      </c>
      <c r="D186" s="40">
        <v>715</v>
      </c>
    </row>
    <row r="187" spans="1:4" x14ac:dyDescent="0.3">
      <c r="A187" t="s">
        <v>575</v>
      </c>
      <c r="B187" t="s">
        <v>574</v>
      </c>
      <c r="D187" s="40">
        <v>156</v>
      </c>
    </row>
    <row r="188" spans="1:4" x14ac:dyDescent="0.3">
      <c r="A188" t="s">
        <v>595</v>
      </c>
      <c r="B188" t="s">
        <v>594</v>
      </c>
      <c r="D188" s="40">
        <v>325</v>
      </c>
    </row>
    <row r="189" spans="1:4" x14ac:dyDescent="0.3">
      <c r="A189" t="s">
        <v>573</v>
      </c>
      <c r="B189" t="s">
        <v>572</v>
      </c>
      <c r="D189" s="40">
        <v>175</v>
      </c>
    </row>
    <row r="190" spans="1:4" x14ac:dyDescent="0.3">
      <c r="A190" t="s">
        <v>855</v>
      </c>
      <c r="B190" t="s">
        <v>854</v>
      </c>
      <c r="D190" s="40">
        <v>69</v>
      </c>
    </row>
    <row r="191" spans="1:4" x14ac:dyDescent="0.3">
      <c r="A191" t="s">
        <v>597</v>
      </c>
      <c r="B191" t="s">
        <v>596</v>
      </c>
      <c r="D191" s="40">
        <v>275</v>
      </c>
    </row>
    <row r="192" spans="1:4" x14ac:dyDescent="0.3">
      <c r="A192" t="s">
        <v>563</v>
      </c>
      <c r="B192" t="s">
        <v>562</v>
      </c>
      <c r="D192" s="40">
        <v>209</v>
      </c>
    </row>
    <row r="193" spans="1:4" x14ac:dyDescent="0.3">
      <c r="A193" t="s">
        <v>225</v>
      </c>
      <c r="B193" t="s">
        <v>224</v>
      </c>
      <c r="D193" s="40">
        <v>6.5</v>
      </c>
    </row>
    <row r="194" spans="1:4" x14ac:dyDescent="0.3">
      <c r="A194" t="s">
        <v>221</v>
      </c>
      <c r="B194" t="s">
        <v>220</v>
      </c>
      <c r="D194" s="40">
        <v>6.5</v>
      </c>
    </row>
    <row r="195" spans="1:4" x14ac:dyDescent="0.3">
      <c r="A195" t="s">
        <v>223</v>
      </c>
      <c r="B195" t="s">
        <v>222</v>
      </c>
      <c r="D195" s="40">
        <v>6.5</v>
      </c>
    </row>
    <row r="196" spans="1:4" x14ac:dyDescent="0.3">
      <c r="A196" t="s">
        <v>567</v>
      </c>
      <c r="B196" t="s">
        <v>566</v>
      </c>
      <c r="D196" s="40">
        <v>225</v>
      </c>
    </row>
    <row r="197" spans="1:4" x14ac:dyDescent="0.3">
      <c r="A197" t="s">
        <v>847</v>
      </c>
      <c r="B197" t="s">
        <v>846</v>
      </c>
      <c r="D197" s="40">
        <v>41</v>
      </c>
    </row>
    <row r="198" spans="1:4" x14ac:dyDescent="0.3">
      <c r="A198" t="s">
        <v>307</v>
      </c>
      <c r="B198" t="s">
        <v>306</v>
      </c>
      <c r="D198" s="40">
        <v>46</v>
      </c>
    </row>
    <row r="199" spans="1:4" x14ac:dyDescent="0.3">
      <c r="A199" t="s">
        <v>541</v>
      </c>
      <c r="B199" t="s">
        <v>540</v>
      </c>
      <c r="D199" s="40">
        <v>62</v>
      </c>
    </row>
    <row r="200" spans="1:4" x14ac:dyDescent="0.3">
      <c r="A200" t="s">
        <v>593</v>
      </c>
      <c r="B200" t="s">
        <v>592</v>
      </c>
      <c r="D200" s="40">
        <v>155</v>
      </c>
    </row>
    <row r="201" spans="1:4" x14ac:dyDescent="0.3">
      <c r="A201" t="s">
        <v>579</v>
      </c>
      <c r="B201" t="s">
        <v>578</v>
      </c>
      <c r="D201" s="40">
        <v>179</v>
      </c>
    </row>
    <row r="202" spans="1:4" x14ac:dyDescent="0.3">
      <c r="A202" t="s">
        <v>1005</v>
      </c>
      <c r="B202" t="s">
        <v>674</v>
      </c>
      <c r="D202" s="40">
        <v>3.5</v>
      </c>
    </row>
    <row r="203" spans="1:4" x14ac:dyDescent="0.3">
      <c r="A203" t="s">
        <v>1006</v>
      </c>
      <c r="B203" t="s">
        <v>675</v>
      </c>
      <c r="D203" s="40">
        <v>6.5</v>
      </c>
    </row>
    <row r="204" spans="1:4" x14ac:dyDescent="0.3">
      <c r="A204" t="s">
        <v>629</v>
      </c>
      <c r="B204" t="s">
        <v>628</v>
      </c>
      <c r="D204" s="40">
        <v>55</v>
      </c>
    </row>
    <row r="205" spans="1:4" x14ac:dyDescent="0.3">
      <c r="A205" t="s">
        <v>627</v>
      </c>
      <c r="B205" t="s">
        <v>626</v>
      </c>
      <c r="D205" s="40">
        <v>92</v>
      </c>
    </row>
    <row r="206" spans="1:4" x14ac:dyDescent="0.3">
      <c r="A206" t="s">
        <v>525</v>
      </c>
      <c r="B206" t="s">
        <v>524</v>
      </c>
      <c r="D206" s="40">
        <v>26</v>
      </c>
    </row>
    <row r="207" spans="1:4" x14ac:dyDescent="0.3">
      <c r="A207" t="s">
        <v>621</v>
      </c>
      <c r="B207" t="s">
        <v>620</v>
      </c>
      <c r="D207" s="40">
        <v>110</v>
      </c>
    </row>
    <row r="208" spans="1:4" x14ac:dyDescent="0.3">
      <c r="A208" t="s">
        <v>922</v>
      </c>
      <c r="B208" t="s">
        <v>921</v>
      </c>
      <c r="D208" s="40">
        <v>45</v>
      </c>
    </row>
    <row r="209" spans="1:4" x14ac:dyDescent="0.3">
      <c r="A209" t="s">
        <v>523</v>
      </c>
      <c r="B209" t="s">
        <v>522</v>
      </c>
      <c r="D209" s="40">
        <v>39</v>
      </c>
    </row>
    <row r="210" spans="1:4" x14ac:dyDescent="0.3">
      <c r="A210" t="s">
        <v>521</v>
      </c>
      <c r="B210" t="s">
        <v>520</v>
      </c>
      <c r="D210" s="40">
        <v>19</v>
      </c>
    </row>
    <row r="211" spans="1:4" x14ac:dyDescent="0.3">
      <c r="A211" t="s">
        <v>619</v>
      </c>
      <c r="B211" t="s">
        <v>618</v>
      </c>
      <c r="D211" s="40">
        <v>39</v>
      </c>
    </row>
    <row r="212" spans="1:4" x14ac:dyDescent="0.3">
      <c r="A212" t="s">
        <v>815</v>
      </c>
      <c r="B212" t="s">
        <v>814</v>
      </c>
      <c r="D212" s="40">
        <v>80</v>
      </c>
    </row>
    <row r="213" spans="1:4" x14ac:dyDescent="0.3">
      <c r="A213" t="s">
        <v>813</v>
      </c>
      <c r="B213" t="s">
        <v>812</v>
      </c>
      <c r="D213" s="40">
        <v>399</v>
      </c>
    </row>
    <row r="214" spans="1:4" x14ac:dyDescent="0.3">
      <c r="A214" t="s">
        <v>980</v>
      </c>
      <c r="B214" t="s">
        <v>979</v>
      </c>
      <c r="D214" s="40">
        <v>39</v>
      </c>
    </row>
    <row r="215" spans="1:4" x14ac:dyDescent="0.3">
      <c r="A215" t="s">
        <v>395</v>
      </c>
      <c r="B215" t="s">
        <v>394</v>
      </c>
      <c r="D215" s="40">
        <v>16</v>
      </c>
    </row>
    <row r="216" spans="1:4" x14ac:dyDescent="0.3">
      <c r="A216" t="s">
        <v>962</v>
      </c>
      <c r="B216" t="s">
        <v>961</v>
      </c>
      <c r="D216" s="40">
        <v>49</v>
      </c>
    </row>
    <row r="217" spans="1:4" x14ac:dyDescent="0.3">
      <c r="A217" t="s">
        <v>393</v>
      </c>
      <c r="B217" t="s">
        <v>392</v>
      </c>
      <c r="D217" s="40">
        <v>16</v>
      </c>
    </row>
    <row r="218" spans="1:4" x14ac:dyDescent="0.3">
      <c r="A218" t="s">
        <v>633</v>
      </c>
      <c r="B218" t="s">
        <v>632</v>
      </c>
      <c r="D218" s="40">
        <v>32</v>
      </c>
    </row>
    <row r="219" spans="1:4" x14ac:dyDescent="0.3">
      <c r="A219" t="s">
        <v>631</v>
      </c>
      <c r="B219" t="s">
        <v>630</v>
      </c>
      <c r="D219" s="40">
        <v>29</v>
      </c>
    </row>
    <row r="220" spans="1:4" x14ac:dyDescent="0.3">
      <c r="A220" t="s">
        <v>825</v>
      </c>
      <c r="B220" t="s">
        <v>824</v>
      </c>
      <c r="D220" s="40">
        <v>38</v>
      </c>
    </row>
    <row r="221" spans="1:4" x14ac:dyDescent="0.3">
      <c r="A221" t="s">
        <v>827</v>
      </c>
      <c r="B221" t="s">
        <v>826</v>
      </c>
      <c r="D221" s="40">
        <v>69</v>
      </c>
    </row>
    <row r="222" spans="1:4" x14ac:dyDescent="0.3">
      <c r="A222" t="s">
        <v>657</v>
      </c>
      <c r="B222" t="s">
        <v>656</v>
      </c>
      <c r="D222" s="40">
        <v>10.5</v>
      </c>
    </row>
    <row r="223" spans="1:4" x14ac:dyDescent="0.3">
      <c r="A223" t="s">
        <v>659</v>
      </c>
      <c r="B223" t="s">
        <v>658</v>
      </c>
      <c r="D223" s="40">
        <v>22</v>
      </c>
    </row>
    <row r="224" spans="1:4" x14ac:dyDescent="0.3">
      <c r="A224" t="s">
        <v>916</v>
      </c>
      <c r="B224" t="s">
        <v>915</v>
      </c>
      <c r="D224" s="40">
        <v>48</v>
      </c>
    </row>
    <row r="225" spans="1:4" x14ac:dyDescent="0.3">
      <c r="A225" t="s">
        <v>886</v>
      </c>
      <c r="B225" t="s">
        <v>885</v>
      </c>
      <c r="D225" s="40">
        <v>55</v>
      </c>
    </row>
    <row r="226" spans="1:4" x14ac:dyDescent="0.3">
      <c r="A226" t="s">
        <v>884</v>
      </c>
      <c r="B226" t="s">
        <v>883</v>
      </c>
      <c r="D226" s="40">
        <v>55</v>
      </c>
    </row>
    <row r="227" spans="1:4" x14ac:dyDescent="0.3">
      <c r="A227" t="s">
        <v>605</v>
      </c>
      <c r="B227" t="s">
        <v>604</v>
      </c>
      <c r="D227" s="40">
        <v>25</v>
      </c>
    </row>
    <row r="228" spans="1:4" x14ac:dyDescent="0.3">
      <c r="A228" t="s">
        <v>365</v>
      </c>
      <c r="B228" t="s">
        <v>364</v>
      </c>
      <c r="D228" s="40">
        <v>8</v>
      </c>
    </row>
    <row r="229" spans="1:4" x14ac:dyDescent="0.3">
      <c r="A229" t="s">
        <v>369</v>
      </c>
      <c r="B229" t="s">
        <v>368</v>
      </c>
      <c r="D229" s="40">
        <v>32.200000000000003</v>
      </c>
    </row>
    <row r="230" spans="1:4" x14ac:dyDescent="0.3">
      <c r="A230" t="s">
        <v>367</v>
      </c>
      <c r="B230" t="s">
        <v>366</v>
      </c>
      <c r="D230" s="40">
        <v>32.200000000000003</v>
      </c>
    </row>
    <row r="231" spans="1:4" x14ac:dyDescent="0.3">
      <c r="A231" t="s">
        <v>363</v>
      </c>
      <c r="B231" t="s">
        <v>362</v>
      </c>
      <c r="D231" s="40">
        <v>8</v>
      </c>
    </row>
    <row r="232" spans="1:4" x14ac:dyDescent="0.3">
      <c r="A232" t="s">
        <v>361</v>
      </c>
      <c r="B232" t="s">
        <v>360</v>
      </c>
      <c r="D232" s="40">
        <v>8</v>
      </c>
    </row>
    <row r="233" spans="1:4" x14ac:dyDescent="0.3">
      <c r="A233" t="s">
        <v>359</v>
      </c>
      <c r="B233" t="s">
        <v>358</v>
      </c>
      <c r="D233" s="40">
        <v>8</v>
      </c>
    </row>
    <row r="234" spans="1:4" x14ac:dyDescent="0.3">
      <c r="A234" t="s">
        <v>811</v>
      </c>
      <c r="B234" t="s">
        <v>810</v>
      </c>
      <c r="D234" s="40">
        <v>310</v>
      </c>
    </row>
    <row r="235" spans="1:4" x14ac:dyDescent="0.3">
      <c r="A235" t="s">
        <v>397</v>
      </c>
      <c r="B235" t="s">
        <v>396</v>
      </c>
      <c r="D235" s="40">
        <v>26</v>
      </c>
    </row>
    <row r="236" spans="1:4" x14ac:dyDescent="0.3">
      <c r="A236" t="s">
        <v>924</v>
      </c>
      <c r="B236" t="s">
        <v>923</v>
      </c>
      <c r="D236" s="40">
        <v>35</v>
      </c>
    </row>
    <row r="237" spans="1:4" x14ac:dyDescent="0.3">
      <c r="A237" t="s">
        <v>197</v>
      </c>
      <c r="B237" t="s">
        <v>196</v>
      </c>
      <c r="D237" s="40">
        <v>32</v>
      </c>
    </row>
    <row r="238" spans="1:4" x14ac:dyDescent="0.3">
      <c r="A238" t="s">
        <v>681</v>
      </c>
      <c r="B238" t="s">
        <v>680</v>
      </c>
      <c r="D238" s="40">
        <v>149</v>
      </c>
    </row>
    <row r="239" spans="1:4" x14ac:dyDescent="0.3">
      <c r="A239" t="s">
        <v>617</v>
      </c>
      <c r="B239" t="s">
        <v>616</v>
      </c>
      <c r="D239" s="40">
        <v>749</v>
      </c>
    </row>
    <row r="240" spans="1:4" x14ac:dyDescent="0.3">
      <c r="A240" t="s">
        <v>257</v>
      </c>
      <c r="B240" t="s">
        <v>256</v>
      </c>
      <c r="D240" s="40">
        <v>42</v>
      </c>
    </row>
    <row r="241" spans="1:4" x14ac:dyDescent="0.3">
      <c r="A241" t="s">
        <v>263</v>
      </c>
      <c r="B241" t="s">
        <v>262</v>
      </c>
      <c r="D241" s="40">
        <v>42</v>
      </c>
    </row>
    <row r="242" spans="1:4" x14ac:dyDescent="0.3">
      <c r="A242" t="s">
        <v>259</v>
      </c>
      <c r="B242" t="s">
        <v>258</v>
      </c>
      <c r="D242" s="40">
        <v>42</v>
      </c>
    </row>
    <row r="243" spans="1:4" x14ac:dyDescent="0.3">
      <c r="A243" t="s">
        <v>253</v>
      </c>
      <c r="B243" t="s">
        <v>252</v>
      </c>
      <c r="D243" s="40">
        <v>42</v>
      </c>
    </row>
    <row r="244" spans="1:4" x14ac:dyDescent="0.3">
      <c r="A244" t="s">
        <v>255</v>
      </c>
      <c r="B244" t="s">
        <v>254</v>
      </c>
      <c r="D244" s="40">
        <v>42</v>
      </c>
    </row>
    <row r="245" spans="1:4" x14ac:dyDescent="0.3">
      <c r="A245" t="s">
        <v>261</v>
      </c>
      <c r="B245" t="s">
        <v>260</v>
      </c>
      <c r="D245" s="40">
        <v>42</v>
      </c>
    </row>
    <row r="246" spans="1:4" x14ac:dyDescent="0.3">
      <c r="A246" t="s">
        <v>251</v>
      </c>
      <c r="B246" t="s">
        <v>250</v>
      </c>
      <c r="D246" s="40">
        <v>42</v>
      </c>
    </row>
    <row r="247" spans="1:4" x14ac:dyDescent="0.3">
      <c r="A247" t="s">
        <v>841</v>
      </c>
      <c r="B247" t="s">
        <v>840</v>
      </c>
      <c r="D247" s="40">
        <v>34.5</v>
      </c>
    </row>
    <row r="248" spans="1:4" x14ac:dyDescent="0.3">
      <c r="A248" t="s">
        <v>845</v>
      </c>
      <c r="B248" t="s">
        <v>844</v>
      </c>
      <c r="D248" s="40">
        <v>25</v>
      </c>
    </row>
    <row r="249" spans="1:4" x14ac:dyDescent="0.3">
      <c r="A249" t="s">
        <v>859</v>
      </c>
      <c r="B249" t="s">
        <v>858</v>
      </c>
      <c r="D249" s="40">
        <v>36</v>
      </c>
    </row>
    <row r="250" spans="1:4" x14ac:dyDescent="0.3">
      <c r="A250" t="s">
        <v>381</v>
      </c>
      <c r="B250" t="s">
        <v>380</v>
      </c>
      <c r="D250" s="40">
        <v>5.5</v>
      </c>
    </row>
    <row r="251" spans="1:4" x14ac:dyDescent="0.3">
      <c r="A251" t="s">
        <v>385</v>
      </c>
      <c r="B251" t="s">
        <v>384</v>
      </c>
      <c r="D251" s="40">
        <v>5.5</v>
      </c>
    </row>
    <row r="252" spans="1:4" x14ac:dyDescent="0.3">
      <c r="A252" t="s">
        <v>383</v>
      </c>
      <c r="B252" t="s">
        <v>382</v>
      </c>
      <c r="D252" s="40">
        <v>5.5</v>
      </c>
    </row>
    <row r="253" spans="1:4" x14ac:dyDescent="0.3">
      <c r="A253" t="s">
        <v>379</v>
      </c>
      <c r="B253" t="s">
        <v>378</v>
      </c>
      <c r="D253" s="40">
        <v>5.5</v>
      </c>
    </row>
    <row r="254" spans="1:4" x14ac:dyDescent="0.3">
      <c r="A254" t="s">
        <v>341</v>
      </c>
      <c r="B254" t="s">
        <v>340</v>
      </c>
      <c r="D254" s="40">
        <v>38</v>
      </c>
    </row>
    <row r="255" spans="1:4" x14ac:dyDescent="0.3">
      <c r="A255" t="s">
        <v>339</v>
      </c>
      <c r="B255" t="s">
        <v>338</v>
      </c>
      <c r="D255" s="40">
        <v>42</v>
      </c>
    </row>
    <row r="256" spans="1:4" x14ac:dyDescent="0.3">
      <c r="A256" t="s">
        <v>337</v>
      </c>
      <c r="B256" t="s">
        <v>336</v>
      </c>
      <c r="D256" s="40">
        <v>24</v>
      </c>
    </row>
    <row r="257" spans="1:4" x14ac:dyDescent="0.3">
      <c r="A257" t="s">
        <v>543</v>
      </c>
      <c r="B257" t="s">
        <v>542</v>
      </c>
      <c r="D257" s="40">
        <v>75</v>
      </c>
    </row>
    <row r="258" spans="1:4" x14ac:dyDescent="0.3">
      <c r="A258" t="s">
        <v>481</v>
      </c>
      <c r="B258" t="s">
        <v>480</v>
      </c>
      <c r="D258" s="40">
        <v>75</v>
      </c>
    </row>
    <row r="259" spans="1:4" x14ac:dyDescent="0.3">
      <c r="A259" t="s">
        <v>479</v>
      </c>
      <c r="B259" t="s">
        <v>478</v>
      </c>
      <c r="D259" s="40">
        <v>40</v>
      </c>
    </row>
    <row r="260" spans="1:4" x14ac:dyDescent="0.3">
      <c r="A260" t="s">
        <v>485</v>
      </c>
      <c r="B260" t="s">
        <v>484</v>
      </c>
      <c r="D260" s="40">
        <v>95</v>
      </c>
    </row>
    <row r="261" spans="1:4" x14ac:dyDescent="0.3">
      <c r="A261" t="s">
        <v>483</v>
      </c>
      <c r="B261" t="s">
        <v>482</v>
      </c>
      <c r="D261" s="40">
        <v>52</v>
      </c>
    </row>
    <row r="262" spans="1:4" x14ac:dyDescent="0.3">
      <c r="A262" t="s">
        <v>679</v>
      </c>
      <c r="B262" t="s">
        <v>678</v>
      </c>
      <c r="D262" s="40">
        <v>15</v>
      </c>
    </row>
    <row r="263" spans="1:4" x14ac:dyDescent="0.3">
      <c r="A263" t="s">
        <v>535</v>
      </c>
      <c r="B263" t="s">
        <v>534</v>
      </c>
      <c r="D263" s="40">
        <v>96</v>
      </c>
    </row>
    <row r="264" spans="1:4" x14ac:dyDescent="0.3">
      <c r="A264" t="s">
        <v>319</v>
      </c>
      <c r="B264" t="s">
        <v>318</v>
      </c>
      <c r="D264" s="40">
        <v>12</v>
      </c>
    </row>
    <row r="265" spans="1:4" x14ac:dyDescent="0.3">
      <c r="A265" t="s">
        <v>809</v>
      </c>
      <c r="B265" t="s">
        <v>808</v>
      </c>
      <c r="D265" s="40">
        <v>375</v>
      </c>
    </row>
    <row r="266" spans="1:4" x14ac:dyDescent="0.3">
      <c r="A266" t="s">
        <v>533</v>
      </c>
      <c r="B266" t="s">
        <v>532</v>
      </c>
      <c r="D266" s="40">
        <v>49</v>
      </c>
    </row>
    <row r="267" spans="1:4" x14ac:dyDescent="0.3">
      <c r="A267" t="s">
        <v>729</v>
      </c>
      <c r="B267" t="s">
        <v>728</v>
      </c>
      <c r="D267" s="40">
        <v>130</v>
      </c>
    </row>
    <row r="268" spans="1:4" x14ac:dyDescent="0.3">
      <c r="A268" t="s">
        <v>141</v>
      </c>
      <c r="B268" t="s">
        <v>140</v>
      </c>
      <c r="D268" s="40">
        <v>16.5</v>
      </c>
    </row>
    <row r="269" spans="1:4" x14ac:dyDescent="0.3">
      <c r="A269" t="s">
        <v>839</v>
      </c>
      <c r="B269" t="s">
        <v>838</v>
      </c>
      <c r="D269" s="40">
        <v>22</v>
      </c>
    </row>
    <row r="270" spans="1:4" x14ac:dyDescent="0.3">
      <c r="A270" t="s">
        <v>803</v>
      </c>
      <c r="B270" t="s">
        <v>802</v>
      </c>
      <c r="D270" s="40">
        <v>150</v>
      </c>
    </row>
    <row r="271" spans="1:4" x14ac:dyDescent="0.3">
      <c r="A271" t="s">
        <v>641</v>
      </c>
      <c r="B271" t="s">
        <v>640</v>
      </c>
      <c r="D271" s="40">
        <v>34</v>
      </c>
    </row>
    <row r="272" spans="1:4" x14ac:dyDescent="0.3">
      <c r="A272" t="s">
        <v>639</v>
      </c>
      <c r="B272" t="s">
        <v>638</v>
      </c>
      <c r="D272" s="40">
        <v>28</v>
      </c>
    </row>
    <row r="273" spans="1:4" x14ac:dyDescent="0.3">
      <c r="A273" t="s">
        <v>333</v>
      </c>
      <c r="B273" t="s">
        <v>332</v>
      </c>
      <c r="D273" s="40">
        <v>9.5</v>
      </c>
    </row>
    <row r="274" spans="1:4" x14ac:dyDescent="0.3">
      <c r="A274" t="s">
        <v>219</v>
      </c>
      <c r="B274" t="s">
        <v>218</v>
      </c>
      <c r="D274" s="40">
        <v>6.5</v>
      </c>
    </row>
    <row r="275" spans="1:4" x14ac:dyDescent="0.3">
      <c r="A275" t="s">
        <v>215</v>
      </c>
      <c r="B275" t="s">
        <v>214</v>
      </c>
      <c r="D275" s="40">
        <v>6.5</v>
      </c>
    </row>
    <row r="276" spans="1:4" x14ac:dyDescent="0.3">
      <c r="A276" t="s">
        <v>217</v>
      </c>
      <c r="B276" t="s">
        <v>216</v>
      </c>
      <c r="D276" s="40">
        <v>6.5</v>
      </c>
    </row>
    <row r="277" spans="1:4" x14ac:dyDescent="0.3">
      <c r="A277" t="s">
        <v>932</v>
      </c>
      <c r="B277" t="s">
        <v>931</v>
      </c>
      <c r="D277" s="40">
        <v>69</v>
      </c>
    </row>
    <row r="278" spans="1:4" x14ac:dyDescent="0.3">
      <c r="A278" t="s">
        <v>930</v>
      </c>
      <c r="B278" t="s">
        <v>929</v>
      </c>
      <c r="D278" s="40">
        <v>39</v>
      </c>
    </row>
    <row r="279" spans="1:4" x14ac:dyDescent="0.3">
      <c r="A279" t="s">
        <v>537</v>
      </c>
      <c r="B279" t="s">
        <v>536</v>
      </c>
      <c r="D279" s="40">
        <v>52</v>
      </c>
    </row>
    <row r="280" spans="1:4" x14ac:dyDescent="0.3">
      <c r="A280" t="s">
        <v>507</v>
      </c>
      <c r="B280" t="s">
        <v>506</v>
      </c>
      <c r="D280" s="40">
        <v>41</v>
      </c>
    </row>
    <row r="281" spans="1:4" x14ac:dyDescent="0.3">
      <c r="A281" t="s">
        <v>689</v>
      </c>
      <c r="B281" t="s">
        <v>688</v>
      </c>
      <c r="D281" s="40">
        <v>15</v>
      </c>
    </row>
    <row r="282" spans="1:4" x14ac:dyDescent="0.3">
      <c r="A282" t="s">
        <v>211</v>
      </c>
      <c r="B282" t="s">
        <v>210</v>
      </c>
      <c r="D282" s="40">
        <v>2.5</v>
      </c>
    </row>
    <row r="283" spans="1:4" x14ac:dyDescent="0.3">
      <c r="A283" t="s">
        <v>207</v>
      </c>
      <c r="B283" t="s">
        <v>206</v>
      </c>
      <c r="D283" s="40">
        <v>2.5</v>
      </c>
    </row>
    <row r="284" spans="1:4" x14ac:dyDescent="0.3">
      <c r="A284" t="s">
        <v>213</v>
      </c>
      <c r="B284" t="s">
        <v>212</v>
      </c>
      <c r="D284" s="40">
        <v>25</v>
      </c>
    </row>
    <row r="285" spans="1:4" x14ac:dyDescent="0.3">
      <c r="A285" t="s">
        <v>209</v>
      </c>
      <c r="B285" t="s">
        <v>208</v>
      </c>
      <c r="D285" s="40">
        <v>2.5</v>
      </c>
    </row>
    <row r="286" spans="1:4" x14ac:dyDescent="0.3">
      <c r="A286" t="s">
        <v>427</v>
      </c>
      <c r="B286" t="s">
        <v>426</v>
      </c>
      <c r="D286" s="40">
        <v>5</v>
      </c>
    </row>
    <row r="287" spans="1:4" x14ac:dyDescent="0.3">
      <c r="A287" t="s">
        <v>429</v>
      </c>
      <c r="B287" t="s">
        <v>428</v>
      </c>
      <c r="D287" s="40">
        <v>5</v>
      </c>
    </row>
    <row r="288" spans="1:4" x14ac:dyDescent="0.3">
      <c r="A288" t="s">
        <v>439</v>
      </c>
      <c r="B288" t="s">
        <v>438</v>
      </c>
      <c r="D288" s="40">
        <v>5</v>
      </c>
    </row>
    <row r="289" spans="1:4" x14ac:dyDescent="0.3">
      <c r="A289" t="s">
        <v>437</v>
      </c>
      <c r="B289" t="s">
        <v>436</v>
      </c>
      <c r="D289" s="40">
        <v>5</v>
      </c>
    </row>
    <row r="290" spans="1:4" x14ac:dyDescent="0.3">
      <c r="A290" t="s">
        <v>435</v>
      </c>
      <c r="B290" t="s">
        <v>434</v>
      </c>
      <c r="D290" s="40">
        <v>5</v>
      </c>
    </row>
    <row r="291" spans="1:4" x14ac:dyDescent="0.3">
      <c r="A291" t="s">
        <v>433</v>
      </c>
      <c r="B291" t="s">
        <v>432</v>
      </c>
      <c r="D291" s="40">
        <v>5</v>
      </c>
    </row>
    <row r="292" spans="1:4" x14ac:dyDescent="0.3">
      <c r="A292" t="s">
        <v>431</v>
      </c>
      <c r="B292" t="s">
        <v>430</v>
      </c>
      <c r="D292" s="40">
        <v>5</v>
      </c>
    </row>
    <row r="293" spans="1:4" x14ac:dyDescent="0.3">
      <c r="A293" t="s">
        <v>853</v>
      </c>
      <c r="B293" t="s">
        <v>852</v>
      </c>
      <c r="D293" s="40">
        <v>32.5</v>
      </c>
    </row>
    <row r="294" spans="1:4" x14ac:dyDescent="0.3">
      <c r="A294" t="s">
        <v>441</v>
      </c>
      <c r="B294" t="s">
        <v>440</v>
      </c>
      <c r="D294" s="40">
        <v>5</v>
      </c>
    </row>
    <row r="295" spans="1:4" x14ac:dyDescent="0.3">
      <c r="A295" t="s">
        <v>177</v>
      </c>
      <c r="B295" t="s">
        <v>176</v>
      </c>
      <c r="D295" s="40">
        <v>19</v>
      </c>
    </row>
    <row r="296" spans="1:4" x14ac:dyDescent="0.3">
      <c r="A296" t="s">
        <v>285</v>
      </c>
      <c r="B296" t="s">
        <v>284</v>
      </c>
      <c r="D296" s="40">
        <v>46</v>
      </c>
    </row>
    <row r="297" spans="1:4" x14ac:dyDescent="0.3">
      <c r="A297" t="s">
        <v>387</v>
      </c>
      <c r="B297" t="s">
        <v>386</v>
      </c>
      <c r="D297" s="40">
        <v>69</v>
      </c>
    </row>
    <row r="298" spans="1:4" x14ac:dyDescent="0.3">
      <c r="A298" t="s">
        <v>351</v>
      </c>
      <c r="B298" t="s">
        <v>350</v>
      </c>
      <c r="D298" s="40">
        <v>60</v>
      </c>
    </row>
    <row r="299" spans="1:4" x14ac:dyDescent="0.3">
      <c r="A299" t="s">
        <v>349</v>
      </c>
      <c r="B299" t="s">
        <v>348</v>
      </c>
      <c r="D299" s="40">
        <v>36</v>
      </c>
    </row>
    <row r="300" spans="1:4" x14ac:dyDescent="0.3">
      <c r="A300" t="s">
        <v>683</v>
      </c>
      <c r="B300" t="s">
        <v>682</v>
      </c>
      <c r="D300" s="40">
        <v>19</v>
      </c>
    </row>
    <row r="301" spans="1:4" x14ac:dyDescent="0.3">
      <c r="A301" t="s">
        <v>287</v>
      </c>
      <c r="B301" t="s">
        <v>286</v>
      </c>
      <c r="D301" s="40">
        <v>35</v>
      </c>
    </row>
    <row r="302" spans="1:4" x14ac:dyDescent="0.3">
      <c r="A302" t="s">
        <v>511</v>
      </c>
      <c r="B302" t="s">
        <v>510</v>
      </c>
      <c r="D302" s="40">
        <v>70</v>
      </c>
    </row>
    <row r="303" spans="1:4" x14ac:dyDescent="0.3">
      <c r="A303" t="s">
        <v>509</v>
      </c>
      <c r="B303" t="s">
        <v>508</v>
      </c>
      <c r="D303" s="40">
        <v>26.5</v>
      </c>
    </row>
    <row r="304" spans="1:4" x14ac:dyDescent="0.3">
      <c r="A304" t="s">
        <v>517</v>
      </c>
      <c r="B304" t="s">
        <v>516</v>
      </c>
      <c r="D304" s="40">
        <v>45</v>
      </c>
    </row>
    <row r="305" spans="1:4" x14ac:dyDescent="0.3">
      <c r="A305" t="s">
        <v>451</v>
      </c>
      <c r="B305" t="s">
        <v>450</v>
      </c>
      <c r="D305" s="40">
        <v>5</v>
      </c>
    </row>
    <row r="306" spans="1:4" x14ac:dyDescent="0.3">
      <c r="A306" t="s">
        <v>449</v>
      </c>
      <c r="B306" t="s">
        <v>448</v>
      </c>
      <c r="D306" s="40">
        <v>5</v>
      </c>
    </row>
    <row r="307" spans="1:4" x14ac:dyDescent="0.3">
      <c r="A307" t="s">
        <v>447</v>
      </c>
      <c r="B307" t="s">
        <v>446</v>
      </c>
      <c r="D307" s="40">
        <v>5</v>
      </c>
    </row>
    <row r="308" spans="1:4" x14ac:dyDescent="0.3">
      <c r="A308" t="s">
        <v>445</v>
      </c>
      <c r="B308" t="s">
        <v>444</v>
      </c>
      <c r="D308" s="40">
        <v>5</v>
      </c>
    </row>
    <row r="309" spans="1:4" x14ac:dyDescent="0.3">
      <c r="A309" t="s">
        <v>443</v>
      </c>
      <c r="B309" t="s">
        <v>442</v>
      </c>
      <c r="D309" s="40">
        <v>5</v>
      </c>
    </row>
    <row r="310" spans="1:4" x14ac:dyDescent="0.3">
      <c r="A310" t="s">
        <v>175</v>
      </c>
      <c r="B310" t="s">
        <v>174</v>
      </c>
      <c r="D310" s="40">
        <v>14.4</v>
      </c>
    </row>
    <row r="311" spans="1:4" x14ac:dyDescent="0.3">
      <c r="A311" t="s">
        <v>926</v>
      </c>
      <c r="B311" t="s">
        <v>925</v>
      </c>
      <c r="D311" s="40">
        <v>19</v>
      </c>
    </row>
    <row r="312" spans="1:4" x14ac:dyDescent="0.3">
      <c r="A312" t="s">
        <v>325</v>
      </c>
      <c r="B312" t="s">
        <v>324</v>
      </c>
      <c r="D312" s="40">
        <v>18.5</v>
      </c>
    </row>
    <row r="313" spans="1:4" x14ac:dyDescent="0.3">
      <c r="A313" t="s">
        <v>331</v>
      </c>
      <c r="B313" t="s">
        <v>330</v>
      </c>
      <c r="D313" s="40">
        <v>12</v>
      </c>
    </row>
    <row r="314" spans="1:4" x14ac:dyDescent="0.3">
      <c r="A314" t="s">
        <v>677</v>
      </c>
      <c r="B314" t="s">
        <v>676</v>
      </c>
      <c r="D314" s="40">
        <v>12</v>
      </c>
    </row>
    <row r="315" spans="1:4" x14ac:dyDescent="0.3">
      <c r="A315" t="s">
        <v>819</v>
      </c>
      <c r="B315" t="s">
        <v>818</v>
      </c>
      <c r="D315" s="40">
        <v>210</v>
      </c>
    </row>
    <row r="316" spans="1:4" x14ac:dyDescent="0.3">
      <c r="A316" t="s">
        <v>823</v>
      </c>
      <c r="B316" t="s">
        <v>822</v>
      </c>
      <c r="D316" s="40">
        <v>210</v>
      </c>
    </row>
    <row r="317" spans="1:4" x14ac:dyDescent="0.3">
      <c r="A317" t="s">
        <v>914</v>
      </c>
      <c r="B317" t="s">
        <v>913</v>
      </c>
      <c r="D317" s="40">
        <v>15</v>
      </c>
    </row>
    <row r="318" spans="1:4" x14ac:dyDescent="0.3">
      <c r="A318" t="s">
        <v>912</v>
      </c>
      <c r="B318" t="s">
        <v>911</v>
      </c>
      <c r="D318" s="40">
        <v>42</v>
      </c>
    </row>
    <row r="319" spans="1:4" x14ac:dyDescent="0.3">
      <c r="A319" t="s">
        <v>171</v>
      </c>
      <c r="B319" t="s">
        <v>170</v>
      </c>
      <c r="D319" s="40">
        <v>30</v>
      </c>
    </row>
    <row r="320" spans="1:4" x14ac:dyDescent="0.3">
      <c r="A320" t="s">
        <v>960</v>
      </c>
      <c r="B320" t="s">
        <v>959</v>
      </c>
      <c r="D320" s="40">
        <v>19</v>
      </c>
    </row>
    <row r="321" spans="1:4" x14ac:dyDescent="0.3">
      <c r="A321" t="s">
        <v>463</v>
      </c>
      <c r="B321" t="s">
        <v>462</v>
      </c>
      <c r="D321" s="40">
        <v>19.5</v>
      </c>
    </row>
    <row r="322" spans="1:4" x14ac:dyDescent="0.3">
      <c r="A322" t="s">
        <v>461</v>
      </c>
      <c r="B322" t="s">
        <v>460</v>
      </c>
      <c r="D322" s="40">
        <v>12</v>
      </c>
    </row>
    <row r="323" spans="1:4" x14ac:dyDescent="0.3">
      <c r="A323" t="s">
        <v>167</v>
      </c>
      <c r="B323" t="s">
        <v>166</v>
      </c>
      <c r="D323" s="40">
        <v>32</v>
      </c>
    </row>
    <row r="324" spans="1:4" x14ac:dyDescent="0.3">
      <c r="A324" t="s">
        <v>165</v>
      </c>
      <c r="B324" t="s">
        <v>164</v>
      </c>
      <c r="D324" s="40">
        <v>22</v>
      </c>
    </row>
    <row r="325" spans="1:4" x14ac:dyDescent="0.3">
      <c r="A325" t="s">
        <v>163</v>
      </c>
      <c r="B325" t="s">
        <v>162</v>
      </c>
      <c r="D325" s="40">
        <v>15</v>
      </c>
    </row>
    <row r="326" spans="1:4" x14ac:dyDescent="0.3">
      <c r="A326" t="s">
        <v>835</v>
      </c>
      <c r="B326" t="s">
        <v>834</v>
      </c>
      <c r="D326" s="40">
        <v>23</v>
      </c>
    </row>
    <row r="327" spans="1:4" x14ac:dyDescent="0.3">
      <c r="A327" t="s">
        <v>391</v>
      </c>
      <c r="B327" t="s">
        <v>390</v>
      </c>
      <c r="D327" s="40">
        <v>32.200000000000003</v>
      </c>
    </row>
    <row r="328" spans="1:4" x14ac:dyDescent="0.3">
      <c r="A328" t="s">
        <v>837</v>
      </c>
      <c r="B328" t="s">
        <v>836</v>
      </c>
      <c r="D328" s="40">
        <v>49</v>
      </c>
    </row>
    <row r="329" spans="1:4" x14ac:dyDescent="0.3">
      <c r="A329" t="s">
        <v>974</v>
      </c>
      <c r="B329" t="s">
        <v>973</v>
      </c>
      <c r="D329" s="40">
        <v>69</v>
      </c>
    </row>
    <row r="330" spans="1:4" x14ac:dyDescent="0.3">
      <c r="A330" t="s">
        <v>942</v>
      </c>
      <c r="B330" t="s">
        <v>941</v>
      </c>
      <c r="D330" s="40">
        <v>60</v>
      </c>
    </row>
    <row r="331" spans="1:4" x14ac:dyDescent="0.3">
      <c r="A331" t="s">
        <v>615</v>
      </c>
      <c r="B331" t="s">
        <v>614</v>
      </c>
      <c r="D331" s="40">
        <v>379</v>
      </c>
    </row>
    <row r="332" spans="1:4" x14ac:dyDescent="0.3">
      <c r="A332" t="s">
        <v>345</v>
      </c>
      <c r="B332" t="s">
        <v>344</v>
      </c>
      <c r="D332" s="40">
        <v>90</v>
      </c>
    </row>
    <row r="333" spans="1:4" x14ac:dyDescent="0.3">
      <c r="A333" t="s">
        <v>347</v>
      </c>
      <c r="B333" t="s">
        <v>346</v>
      </c>
      <c r="D333" s="40">
        <v>69</v>
      </c>
    </row>
    <row r="334" spans="1:4" x14ac:dyDescent="0.3">
      <c r="A334" t="s">
        <v>343</v>
      </c>
      <c r="B334" t="s">
        <v>342</v>
      </c>
      <c r="D334" s="40">
        <v>42</v>
      </c>
    </row>
    <row r="335" spans="1:4" x14ac:dyDescent="0.3">
      <c r="A335" t="s">
        <v>753</v>
      </c>
      <c r="B335" t="s">
        <v>752</v>
      </c>
      <c r="D335" s="40">
        <v>72</v>
      </c>
    </row>
    <row r="336" spans="1:4" x14ac:dyDescent="0.3">
      <c r="A336" t="s">
        <v>751</v>
      </c>
      <c r="B336" t="s">
        <v>750</v>
      </c>
      <c r="D336" s="40">
        <v>49</v>
      </c>
    </row>
    <row r="337" spans="1:4" x14ac:dyDescent="0.3">
      <c r="A337" t="s">
        <v>749</v>
      </c>
      <c r="B337" t="s">
        <v>748</v>
      </c>
      <c r="D337" s="40">
        <v>35</v>
      </c>
    </row>
    <row r="338" spans="1:4" x14ac:dyDescent="0.3">
      <c r="A338" t="s">
        <v>747</v>
      </c>
      <c r="B338" t="s">
        <v>746</v>
      </c>
      <c r="D338" s="40">
        <v>23</v>
      </c>
    </row>
    <row r="339" spans="1:4" x14ac:dyDescent="0.3">
      <c r="A339" t="s">
        <v>745</v>
      </c>
      <c r="B339" t="s">
        <v>744</v>
      </c>
      <c r="D339" s="40">
        <v>17</v>
      </c>
    </row>
    <row r="340" spans="1:4" x14ac:dyDescent="0.3">
      <c r="A340" t="s">
        <v>169</v>
      </c>
      <c r="B340" t="s">
        <v>168</v>
      </c>
      <c r="D340" s="40">
        <v>9</v>
      </c>
    </row>
    <row r="341" spans="1:4" x14ac:dyDescent="0.3">
      <c r="A341" t="s">
        <v>189</v>
      </c>
      <c r="B341" t="s">
        <v>188</v>
      </c>
      <c r="D341" s="40">
        <v>19</v>
      </c>
    </row>
    <row r="342" spans="1:4" x14ac:dyDescent="0.3">
      <c r="A342" t="s">
        <v>187</v>
      </c>
      <c r="B342" t="s">
        <v>186</v>
      </c>
      <c r="D342" s="40">
        <v>26</v>
      </c>
    </row>
    <row r="343" spans="1:4" x14ac:dyDescent="0.3">
      <c r="A343" t="s">
        <v>185</v>
      </c>
      <c r="B343" t="s">
        <v>184</v>
      </c>
      <c r="D343" s="40">
        <v>19.899999999999999</v>
      </c>
    </row>
    <row r="344" spans="1:4" x14ac:dyDescent="0.3">
      <c r="A344" t="s">
        <v>191</v>
      </c>
      <c r="B344" t="s">
        <v>190</v>
      </c>
      <c r="D344" s="40">
        <v>25.3</v>
      </c>
    </row>
    <row r="345" spans="1:4" x14ac:dyDescent="0.3">
      <c r="A345" t="s">
        <v>966</v>
      </c>
      <c r="B345" t="s">
        <v>965</v>
      </c>
      <c r="D345" s="40">
        <v>48</v>
      </c>
    </row>
    <row r="346" spans="1:4" x14ac:dyDescent="0.3">
      <c r="A346" t="s">
        <v>777</v>
      </c>
      <c r="B346" t="s">
        <v>776</v>
      </c>
      <c r="D346" s="40">
        <v>10.5</v>
      </c>
    </row>
    <row r="347" spans="1:4" x14ac:dyDescent="0.3">
      <c r="A347" t="s">
        <v>779</v>
      </c>
      <c r="B347" t="s">
        <v>778</v>
      </c>
      <c r="D347" s="40">
        <v>15</v>
      </c>
    </row>
    <row r="348" spans="1:4" x14ac:dyDescent="0.3">
      <c r="A348" t="s">
        <v>857</v>
      </c>
      <c r="B348" t="s">
        <v>856</v>
      </c>
      <c r="D348" s="40">
        <v>30</v>
      </c>
    </row>
    <row r="349" spans="1:4" x14ac:dyDescent="0.3">
      <c r="A349" t="s">
        <v>173</v>
      </c>
      <c r="B349" t="s">
        <v>172</v>
      </c>
      <c r="D349" s="40">
        <v>4</v>
      </c>
    </row>
    <row r="350" spans="1:4" x14ac:dyDescent="0.3">
      <c r="A350" t="s">
        <v>591</v>
      </c>
      <c r="B350" t="s">
        <v>590</v>
      </c>
      <c r="D350" s="40">
        <v>249</v>
      </c>
    </row>
    <row r="351" spans="1:4" x14ac:dyDescent="0.3">
      <c r="A351" t="s">
        <v>231</v>
      </c>
      <c r="B351" t="s">
        <v>230</v>
      </c>
      <c r="D351" s="40">
        <v>7.5</v>
      </c>
    </row>
    <row r="352" spans="1:4" x14ac:dyDescent="0.3">
      <c r="A352" t="s">
        <v>227</v>
      </c>
      <c r="B352" t="s">
        <v>226</v>
      </c>
      <c r="D352" s="40">
        <v>7.5</v>
      </c>
    </row>
    <row r="353" spans="1:4" x14ac:dyDescent="0.3">
      <c r="A353" t="s">
        <v>233</v>
      </c>
      <c r="B353" t="s">
        <v>232</v>
      </c>
      <c r="D353" s="40">
        <v>8.5</v>
      </c>
    </row>
    <row r="354" spans="1:4" x14ac:dyDescent="0.3">
      <c r="A354" t="s">
        <v>229</v>
      </c>
      <c r="B354" t="s">
        <v>228</v>
      </c>
      <c r="D354" s="40">
        <v>7.5</v>
      </c>
    </row>
    <row r="355" spans="1:4" x14ac:dyDescent="0.3">
      <c r="A355" t="s">
        <v>970</v>
      </c>
      <c r="B355" t="s">
        <v>969</v>
      </c>
      <c r="D355" s="40">
        <v>22</v>
      </c>
    </row>
    <row r="356" spans="1:4" x14ac:dyDescent="0.3">
      <c r="A356" t="s">
        <v>625</v>
      </c>
      <c r="B356" t="s">
        <v>624</v>
      </c>
      <c r="D356" s="40">
        <v>49.5</v>
      </c>
    </row>
    <row r="357" spans="1:4" x14ac:dyDescent="0.3">
      <c r="A357" t="s">
        <v>623</v>
      </c>
      <c r="B357" t="s">
        <v>622</v>
      </c>
      <c r="D357" s="40">
        <v>33</v>
      </c>
    </row>
    <row r="358" spans="1:4" x14ac:dyDescent="0.3">
      <c r="A358" t="s">
        <v>976</v>
      </c>
      <c r="B358" t="s">
        <v>975</v>
      </c>
      <c r="D358" s="40">
        <v>90</v>
      </c>
    </row>
    <row r="359" spans="1:4" x14ac:dyDescent="0.3">
      <c r="A359" t="s">
        <v>978</v>
      </c>
      <c r="B359" t="s">
        <v>977</v>
      </c>
      <c r="D359" s="40">
        <v>145</v>
      </c>
    </row>
    <row r="360" spans="1:4" x14ac:dyDescent="0.3">
      <c r="A360" t="s">
        <v>982</v>
      </c>
      <c r="B360" t="s">
        <v>981</v>
      </c>
      <c r="D360" s="40">
        <v>35</v>
      </c>
    </row>
    <row r="361" spans="1:4" x14ac:dyDescent="0.3">
      <c r="A361" t="s">
        <v>876</v>
      </c>
      <c r="B361" t="s">
        <v>875</v>
      </c>
      <c r="D361" s="40">
        <v>38</v>
      </c>
    </row>
    <row r="362" spans="1:4" x14ac:dyDescent="0.3">
      <c r="A362" t="s">
        <v>193</v>
      </c>
      <c r="B362" t="s">
        <v>192</v>
      </c>
      <c r="D362" s="40">
        <v>36</v>
      </c>
    </row>
    <row r="363" spans="1:4" x14ac:dyDescent="0.3">
      <c r="A363" t="s">
        <v>655</v>
      </c>
      <c r="B363" t="s">
        <v>654</v>
      </c>
      <c r="D363" s="40">
        <v>23</v>
      </c>
    </row>
    <row r="364" spans="1:4" x14ac:dyDescent="0.3">
      <c r="A364" t="s">
        <v>195</v>
      </c>
      <c r="B364" t="s">
        <v>194</v>
      </c>
      <c r="D364" s="40">
        <v>41</v>
      </c>
    </row>
    <row r="365" spans="1:4" x14ac:dyDescent="0.3">
      <c r="A365" t="s">
        <v>882</v>
      </c>
      <c r="B365" t="s">
        <v>881</v>
      </c>
      <c r="D365" s="40">
        <v>175</v>
      </c>
    </row>
    <row r="366" spans="1:4" x14ac:dyDescent="0.3">
      <c r="A366" t="s">
        <v>861</v>
      </c>
      <c r="B366" t="s">
        <v>860</v>
      </c>
      <c r="D366" s="40">
        <v>59</v>
      </c>
    </row>
    <row r="367" spans="1:4" x14ac:dyDescent="0.3">
      <c r="A367" t="s">
        <v>135</v>
      </c>
      <c r="B367" t="s">
        <v>134</v>
      </c>
      <c r="D367" s="40">
        <v>5.5</v>
      </c>
    </row>
    <row r="368" spans="1:4" x14ac:dyDescent="0.3">
      <c r="A368" t="s">
        <v>99</v>
      </c>
      <c r="B368" t="s">
        <v>98</v>
      </c>
      <c r="D368" s="40">
        <v>35</v>
      </c>
    </row>
    <row r="369" spans="1:4" x14ac:dyDescent="0.3">
      <c r="A369" t="s">
        <v>97</v>
      </c>
      <c r="B369" t="s">
        <v>96</v>
      </c>
      <c r="D369" s="40">
        <v>15</v>
      </c>
    </row>
    <row r="370" spans="1:4" x14ac:dyDescent="0.3">
      <c r="A370" t="s">
        <v>147</v>
      </c>
      <c r="B370" t="s">
        <v>146</v>
      </c>
      <c r="D370" s="40">
        <v>35</v>
      </c>
    </row>
    <row r="371" spans="1:4" x14ac:dyDescent="0.3">
      <c r="A371" t="s">
        <v>133</v>
      </c>
      <c r="B371" t="s">
        <v>132</v>
      </c>
      <c r="D371" s="40">
        <v>69</v>
      </c>
    </row>
    <row r="372" spans="1:4" x14ac:dyDescent="0.3">
      <c r="A372" t="s">
        <v>69</v>
      </c>
      <c r="B372" t="s">
        <v>68</v>
      </c>
      <c r="D372" s="40">
        <v>6.9</v>
      </c>
    </row>
    <row r="373" spans="1:4" x14ac:dyDescent="0.3">
      <c r="A373" t="s">
        <v>71</v>
      </c>
      <c r="B373" t="s">
        <v>70</v>
      </c>
      <c r="D373" s="40">
        <v>6.9</v>
      </c>
    </row>
    <row r="374" spans="1:4" x14ac:dyDescent="0.3">
      <c r="A374" t="s">
        <v>159</v>
      </c>
      <c r="B374" t="s">
        <v>158</v>
      </c>
      <c r="D374" s="40">
        <v>13</v>
      </c>
    </row>
    <row r="375" spans="1:4" x14ac:dyDescent="0.3">
      <c r="A375" t="s">
        <v>155</v>
      </c>
      <c r="B375" t="s">
        <v>154</v>
      </c>
      <c r="D375" s="40">
        <v>12</v>
      </c>
    </row>
    <row r="376" spans="1:4" x14ac:dyDescent="0.3">
      <c r="A376" t="s">
        <v>607</v>
      </c>
      <c r="B376" t="s">
        <v>606</v>
      </c>
      <c r="D376" s="40">
        <v>75</v>
      </c>
    </row>
    <row r="377" spans="1:4" x14ac:dyDescent="0.3">
      <c r="A377" t="s">
        <v>89</v>
      </c>
      <c r="B377" t="s">
        <v>88</v>
      </c>
      <c r="D377" s="40">
        <v>49</v>
      </c>
    </row>
    <row r="378" spans="1:4" x14ac:dyDescent="0.3">
      <c r="A378" t="s">
        <v>145</v>
      </c>
      <c r="B378" t="s">
        <v>144</v>
      </c>
      <c r="D378" s="40">
        <v>23</v>
      </c>
    </row>
    <row r="379" spans="1:4" x14ac:dyDescent="0.3">
      <c r="A379" t="s">
        <v>85</v>
      </c>
      <c r="B379" t="s">
        <v>84</v>
      </c>
      <c r="D379" s="40">
        <v>13</v>
      </c>
    </row>
    <row r="380" spans="1:4" x14ac:dyDescent="0.3">
      <c r="A380" t="s">
        <v>67</v>
      </c>
      <c r="B380" t="s">
        <v>66</v>
      </c>
      <c r="D380" s="40">
        <v>4.5</v>
      </c>
    </row>
    <row r="381" spans="1:4" x14ac:dyDescent="0.3">
      <c r="A381" t="s">
        <v>65</v>
      </c>
      <c r="B381" t="s">
        <v>64</v>
      </c>
      <c r="D381" s="40">
        <v>4.5</v>
      </c>
    </row>
    <row r="382" spans="1:4" x14ac:dyDescent="0.3">
      <c r="A382" t="s">
        <v>63</v>
      </c>
      <c r="B382" t="s">
        <v>62</v>
      </c>
      <c r="D382" s="40">
        <v>4.5</v>
      </c>
    </row>
    <row r="383" spans="1:4" x14ac:dyDescent="0.3">
      <c r="A383" t="s">
        <v>59</v>
      </c>
      <c r="B383" t="s">
        <v>58</v>
      </c>
      <c r="D383" s="40">
        <v>3.5</v>
      </c>
    </row>
    <row r="384" spans="1:4" x14ac:dyDescent="0.3">
      <c r="A384" t="s">
        <v>57</v>
      </c>
      <c r="B384" t="s">
        <v>56</v>
      </c>
      <c r="D384" s="40">
        <v>3.5</v>
      </c>
    </row>
    <row r="385" spans="1:4" x14ac:dyDescent="0.3">
      <c r="A385" t="s">
        <v>55</v>
      </c>
      <c r="B385" t="s">
        <v>54</v>
      </c>
      <c r="D385" s="40">
        <v>3.5</v>
      </c>
    </row>
    <row r="386" spans="1:4" x14ac:dyDescent="0.3">
      <c r="A386" t="s">
        <v>81</v>
      </c>
      <c r="B386" t="s">
        <v>80</v>
      </c>
      <c r="D386" s="40">
        <v>6.5</v>
      </c>
    </row>
    <row r="387" spans="1:4" x14ac:dyDescent="0.3">
      <c r="A387" t="s">
        <v>87</v>
      </c>
      <c r="B387" t="s">
        <v>86</v>
      </c>
      <c r="D387" s="40">
        <v>18</v>
      </c>
    </row>
    <row r="388" spans="1:4" x14ac:dyDescent="0.3">
      <c r="A388" t="s">
        <v>151</v>
      </c>
      <c r="B388" t="s">
        <v>150</v>
      </c>
      <c r="D388" s="40">
        <v>18</v>
      </c>
    </row>
    <row r="389" spans="1:4" x14ac:dyDescent="0.3">
      <c r="A389" t="s">
        <v>125</v>
      </c>
      <c r="B389" t="s">
        <v>124</v>
      </c>
      <c r="D389" s="40">
        <v>59</v>
      </c>
    </row>
    <row r="390" spans="1:4" x14ac:dyDescent="0.3">
      <c r="A390" t="s">
        <v>129</v>
      </c>
      <c r="B390" t="s">
        <v>128</v>
      </c>
      <c r="D390" s="40">
        <v>110</v>
      </c>
    </row>
    <row r="391" spans="1:4" x14ac:dyDescent="0.3">
      <c r="A391" t="s">
        <v>121</v>
      </c>
      <c r="B391" t="s">
        <v>120</v>
      </c>
      <c r="D391" s="40">
        <v>19</v>
      </c>
    </row>
    <row r="392" spans="1:4" x14ac:dyDescent="0.3">
      <c r="A392" t="s">
        <v>948</v>
      </c>
      <c r="B392" t="s">
        <v>947</v>
      </c>
      <c r="D392" s="40">
        <v>40</v>
      </c>
    </row>
    <row r="393" spans="1:4" x14ac:dyDescent="0.3">
      <c r="A393" t="s">
        <v>946</v>
      </c>
      <c r="B393" t="s">
        <v>945</v>
      </c>
      <c r="D393" s="40">
        <v>30</v>
      </c>
    </row>
    <row r="394" spans="1:4" x14ac:dyDescent="0.3">
      <c r="A394" t="s">
        <v>139</v>
      </c>
      <c r="B394" t="s">
        <v>138</v>
      </c>
      <c r="D394" s="40">
        <v>77.5</v>
      </c>
    </row>
    <row r="395" spans="1:4" x14ac:dyDescent="0.3">
      <c r="A395" t="s">
        <v>713</v>
      </c>
      <c r="B395" t="s">
        <v>712</v>
      </c>
      <c r="D395" s="40">
        <v>29</v>
      </c>
    </row>
    <row r="396" spans="1:4" x14ac:dyDescent="0.3">
      <c r="A396" t="s">
        <v>715</v>
      </c>
      <c r="B396" t="s">
        <v>714</v>
      </c>
      <c r="D396" s="40">
        <v>29</v>
      </c>
    </row>
    <row r="397" spans="1:4" x14ac:dyDescent="0.3">
      <c r="A397" t="s">
        <v>711</v>
      </c>
      <c r="B397" t="s">
        <v>710</v>
      </c>
      <c r="D397" s="40">
        <v>29</v>
      </c>
    </row>
    <row r="398" spans="1:4" x14ac:dyDescent="0.3">
      <c r="A398" t="s">
        <v>709</v>
      </c>
      <c r="B398" t="s">
        <v>708</v>
      </c>
      <c r="D398" s="40">
        <v>29</v>
      </c>
    </row>
    <row r="399" spans="1:4" x14ac:dyDescent="0.3">
      <c r="A399" t="s">
        <v>773</v>
      </c>
      <c r="B399" t="s">
        <v>772</v>
      </c>
      <c r="D399" s="40">
        <v>9</v>
      </c>
    </row>
    <row r="400" spans="1:4" x14ac:dyDescent="0.3">
      <c r="A400" t="s">
        <v>157</v>
      </c>
      <c r="B400" t="s">
        <v>156</v>
      </c>
      <c r="D400" s="40">
        <v>15</v>
      </c>
    </row>
    <row r="401" spans="1:4" x14ac:dyDescent="0.3">
      <c r="A401" t="s">
        <v>153</v>
      </c>
      <c r="B401" t="s">
        <v>152</v>
      </c>
      <c r="D401" s="40">
        <v>15</v>
      </c>
    </row>
    <row r="402" spans="1:4" x14ac:dyDescent="0.3">
      <c r="A402" t="s">
        <v>785</v>
      </c>
      <c r="B402" t="s">
        <v>784</v>
      </c>
      <c r="D402" s="40">
        <v>40</v>
      </c>
    </row>
    <row r="403" spans="1:4" x14ac:dyDescent="0.3">
      <c r="A403" t="s">
        <v>695</v>
      </c>
      <c r="B403" t="s">
        <v>694</v>
      </c>
      <c r="D403" s="40">
        <v>39</v>
      </c>
    </row>
    <row r="404" spans="1:4" x14ac:dyDescent="0.3">
      <c r="A404" t="s">
        <v>697</v>
      </c>
      <c r="B404" t="s">
        <v>696</v>
      </c>
      <c r="D404" s="40">
        <v>39</v>
      </c>
    </row>
    <row r="405" spans="1:4" x14ac:dyDescent="0.3">
      <c r="A405" t="s">
        <v>693</v>
      </c>
      <c r="B405" t="s">
        <v>692</v>
      </c>
      <c r="D405" s="40">
        <v>39</v>
      </c>
    </row>
    <row r="406" spans="1:4" x14ac:dyDescent="0.3">
      <c r="A406" t="s">
        <v>691</v>
      </c>
      <c r="B406" t="s">
        <v>690</v>
      </c>
      <c r="D406" s="40">
        <v>39</v>
      </c>
    </row>
    <row r="407" spans="1:4" x14ac:dyDescent="0.3">
      <c r="A407" t="s">
        <v>723</v>
      </c>
      <c r="B407" t="s">
        <v>722</v>
      </c>
      <c r="D407" s="40">
        <v>49</v>
      </c>
    </row>
    <row r="408" spans="1:4" x14ac:dyDescent="0.3">
      <c r="A408" t="s">
        <v>721</v>
      </c>
      <c r="B408" t="s">
        <v>720</v>
      </c>
      <c r="D408" s="40">
        <v>49</v>
      </c>
    </row>
    <row r="409" spans="1:4" x14ac:dyDescent="0.3">
      <c r="A409" t="s">
        <v>719</v>
      </c>
      <c r="B409" t="s">
        <v>718</v>
      </c>
      <c r="D409" s="40">
        <v>49</v>
      </c>
    </row>
    <row r="410" spans="1:4" x14ac:dyDescent="0.3">
      <c r="A410" t="s">
        <v>717</v>
      </c>
      <c r="B410" t="s">
        <v>716</v>
      </c>
      <c r="D410" s="40">
        <v>49</v>
      </c>
    </row>
    <row r="411" spans="1:4" x14ac:dyDescent="0.3">
      <c r="A411" t="s">
        <v>119</v>
      </c>
      <c r="B411" t="s">
        <v>118</v>
      </c>
      <c r="D411" s="40">
        <v>55</v>
      </c>
    </row>
    <row r="412" spans="1:4" x14ac:dyDescent="0.3">
      <c r="A412" t="s">
        <v>725</v>
      </c>
      <c r="B412" t="s">
        <v>724</v>
      </c>
      <c r="D412" s="40">
        <v>29</v>
      </c>
    </row>
    <row r="413" spans="1:4" x14ac:dyDescent="0.3">
      <c r="A413" t="s">
        <v>727</v>
      </c>
      <c r="B413" t="s">
        <v>726</v>
      </c>
      <c r="D413" s="40">
        <v>32</v>
      </c>
    </row>
    <row r="414" spans="1:4" x14ac:dyDescent="0.3">
      <c r="A414" t="s">
        <v>107</v>
      </c>
      <c r="B414" t="s">
        <v>106</v>
      </c>
      <c r="D414" s="40">
        <v>11.5</v>
      </c>
    </row>
    <row r="415" spans="1:4" x14ac:dyDescent="0.3">
      <c r="A415" t="s">
        <v>143</v>
      </c>
      <c r="B415" t="s">
        <v>142</v>
      </c>
      <c r="D415" s="40">
        <v>26</v>
      </c>
    </row>
    <row r="416" spans="1:4" x14ac:dyDescent="0.3">
      <c r="A416" t="s">
        <v>739</v>
      </c>
      <c r="B416" t="s">
        <v>738</v>
      </c>
      <c r="D416" s="40">
        <v>75</v>
      </c>
    </row>
    <row r="417" spans="1:4" x14ac:dyDescent="0.3">
      <c r="A417" t="s">
        <v>737</v>
      </c>
      <c r="B417" t="s">
        <v>736</v>
      </c>
      <c r="D417" s="40">
        <v>60</v>
      </c>
    </row>
    <row r="418" spans="1:4" x14ac:dyDescent="0.3">
      <c r="A418" t="s">
        <v>735</v>
      </c>
      <c r="B418" t="s">
        <v>734</v>
      </c>
      <c r="D418" s="40">
        <v>39</v>
      </c>
    </row>
    <row r="419" spans="1:4" x14ac:dyDescent="0.3">
      <c r="A419" t="s">
        <v>733</v>
      </c>
      <c r="B419" t="s">
        <v>732</v>
      </c>
      <c r="D419" s="40">
        <v>29</v>
      </c>
    </row>
    <row r="420" spans="1:4" x14ac:dyDescent="0.3">
      <c r="A420" t="s">
        <v>731</v>
      </c>
      <c r="B420" t="s">
        <v>730</v>
      </c>
      <c r="D420" s="40">
        <v>21</v>
      </c>
    </row>
    <row r="421" spans="1:4" x14ac:dyDescent="0.3">
      <c r="A421" t="s">
        <v>105</v>
      </c>
      <c r="B421" t="s">
        <v>104</v>
      </c>
      <c r="D421" s="40">
        <v>11.5</v>
      </c>
    </row>
    <row r="422" spans="1:4" x14ac:dyDescent="0.3">
      <c r="A422" t="s">
        <v>993</v>
      </c>
      <c r="B422" t="s">
        <v>992</v>
      </c>
      <c r="D422" s="40">
        <v>55</v>
      </c>
    </row>
    <row r="423" spans="1:4" x14ac:dyDescent="0.3">
      <c r="A423" t="s">
        <v>161</v>
      </c>
      <c r="B423" t="s">
        <v>160</v>
      </c>
      <c r="D423" s="40">
        <v>29</v>
      </c>
    </row>
    <row r="424" spans="1:4" x14ac:dyDescent="0.3">
      <c r="A424" t="s">
        <v>769</v>
      </c>
      <c r="B424" t="s">
        <v>768</v>
      </c>
      <c r="D424" s="40">
        <v>19.5</v>
      </c>
    </row>
    <row r="425" spans="1:4" x14ac:dyDescent="0.3">
      <c r="A425" t="s">
        <v>111</v>
      </c>
      <c r="B425" t="s">
        <v>110</v>
      </c>
      <c r="D425" s="40">
        <v>11.5</v>
      </c>
    </row>
    <row r="426" spans="1:4" x14ac:dyDescent="0.3">
      <c r="A426" t="s">
        <v>890</v>
      </c>
      <c r="B426" t="s">
        <v>889</v>
      </c>
      <c r="D426" s="40">
        <v>65</v>
      </c>
    </row>
    <row r="427" spans="1:4" x14ac:dyDescent="0.3">
      <c r="A427" t="s">
        <v>892</v>
      </c>
      <c r="B427" t="s">
        <v>891</v>
      </c>
      <c r="D427" s="40">
        <v>60</v>
      </c>
    </row>
    <row r="428" spans="1:4" x14ac:dyDescent="0.3">
      <c r="A428" t="s">
        <v>888</v>
      </c>
      <c r="B428" t="s">
        <v>887</v>
      </c>
      <c r="D428" s="40">
        <v>85</v>
      </c>
    </row>
    <row r="429" spans="1:4" x14ac:dyDescent="0.3">
      <c r="A429" t="s">
        <v>109</v>
      </c>
      <c r="B429" t="s">
        <v>108</v>
      </c>
      <c r="D429" s="40">
        <v>11.5</v>
      </c>
    </row>
    <row r="430" spans="1:4" x14ac:dyDescent="0.3">
      <c r="A430" t="s">
        <v>75</v>
      </c>
      <c r="B430" t="s">
        <v>74</v>
      </c>
      <c r="D430" s="40">
        <v>8.5</v>
      </c>
    </row>
    <row r="431" spans="1:4" x14ac:dyDescent="0.3">
      <c r="A431" t="s">
        <v>51</v>
      </c>
      <c r="B431" t="s">
        <v>50</v>
      </c>
      <c r="D431" s="40">
        <v>5.95</v>
      </c>
    </row>
    <row r="432" spans="1:4" x14ac:dyDescent="0.3">
      <c r="A432" t="s">
        <v>103</v>
      </c>
      <c r="B432" t="s">
        <v>102</v>
      </c>
      <c r="D432" s="40">
        <v>11.5</v>
      </c>
    </row>
    <row r="433" spans="1:4" x14ac:dyDescent="0.3">
      <c r="A433" t="s">
        <v>115</v>
      </c>
      <c r="B433" t="s">
        <v>114</v>
      </c>
      <c r="D433" s="40">
        <v>16.5</v>
      </c>
    </row>
    <row r="434" spans="1:4" x14ac:dyDescent="0.3">
      <c r="A434" t="s">
        <v>113</v>
      </c>
      <c r="B434" t="s">
        <v>112</v>
      </c>
      <c r="D434" s="40">
        <v>16.5</v>
      </c>
    </row>
    <row r="435" spans="1:4" x14ac:dyDescent="0.3">
      <c r="A435" t="s">
        <v>49</v>
      </c>
      <c r="B435" t="s">
        <v>48</v>
      </c>
      <c r="D435" s="40">
        <v>5.95</v>
      </c>
    </row>
    <row r="436" spans="1:4" x14ac:dyDescent="0.3">
      <c r="A436" t="s">
        <v>47</v>
      </c>
      <c r="B436" t="s">
        <v>46</v>
      </c>
      <c r="D436" s="40">
        <v>5.95</v>
      </c>
    </row>
    <row r="437" spans="1:4" x14ac:dyDescent="0.3">
      <c r="A437" t="s">
        <v>83</v>
      </c>
      <c r="B437" t="s">
        <v>82</v>
      </c>
      <c r="D437" s="40">
        <v>19.5</v>
      </c>
    </row>
    <row r="438" spans="1:4" x14ac:dyDescent="0.3">
      <c r="A438" t="s">
        <v>73</v>
      </c>
      <c r="B438" t="s">
        <v>72</v>
      </c>
      <c r="D438" s="40">
        <v>8.5</v>
      </c>
    </row>
    <row r="439" spans="1:4" x14ac:dyDescent="0.3">
      <c r="A439" t="s">
        <v>45</v>
      </c>
      <c r="B439" t="s">
        <v>44</v>
      </c>
      <c r="D439" s="40">
        <v>5.95</v>
      </c>
    </row>
    <row r="440" spans="1:4" x14ac:dyDescent="0.3">
      <c r="A440" t="s">
        <v>53</v>
      </c>
      <c r="B440" t="s">
        <v>52</v>
      </c>
      <c r="D440" s="40">
        <v>5.95</v>
      </c>
    </row>
    <row r="441" spans="1:4" x14ac:dyDescent="0.3">
      <c r="A441" t="s">
        <v>77</v>
      </c>
      <c r="B441" t="s">
        <v>76</v>
      </c>
      <c r="D441" s="40">
        <v>9</v>
      </c>
    </row>
    <row r="442" spans="1:4" x14ac:dyDescent="0.3">
      <c r="A442" t="s">
        <v>43</v>
      </c>
      <c r="B442" t="s">
        <v>42</v>
      </c>
      <c r="D442" s="40">
        <v>4.5</v>
      </c>
    </row>
    <row r="443" spans="1:4" x14ac:dyDescent="0.3">
      <c r="A443" t="s">
        <v>61</v>
      </c>
      <c r="B443" t="s">
        <v>60</v>
      </c>
      <c r="D443" s="40">
        <v>3.5</v>
      </c>
    </row>
    <row r="444" spans="1:4" x14ac:dyDescent="0.3">
      <c r="A444" t="s">
        <v>137</v>
      </c>
      <c r="B444" t="s">
        <v>136</v>
      </c>
      <c r="D444" s="40">
        <v>13</v>
      </c>
    </row>
    <row r="445" spans="1:4" x14ac:dyDescent="0.3">
      <c r="A445" t="s">
        <v>39</v>
      </c>
      <c r="B445" t="s">
        <v>38</v>
      </c>
      <c r="D445" s="40">
        <v>3.95</v>
      </c>
    </row>
    <row r="446" spans="1:4" x14ac:dyDescent="0.3">
      <c r="A446" t="s">
        <v>37</v>
      </c>
      <c r="B446" t="s">
        <v>36</v>
      </c>
      <c r="D446" s="40">
        <v>3.95</v>
      </c>
    </row>
    <row r="447" spans="1:4" x14ac:dyDescent="0.3">
      <c r="A447" t="s">
        <v>41</v>
      </c>
      <c r="B447" t="s">
        <v>40</v>
      </c>
      <c r="D447" s="40">
        <v>3.95</v>
      </c>
    </row>
    <row r="448" spans="1:4" x14ac:dyDescent="0.3">
      <c r="A448" t="s">
        <v>79</v>
      </c>
      <c r="B448" t="s">
        <v>78</v>
      </c>
      <c r="D448" s="40">
        <v>9</v>
      </c>
    </row>
    <row r="449" spans="1:4" x14ac:dyDescent="0.3">
      <c r="A449" t="s">
        <v>131</v>
      </c>
      <c r="B449" t="s">
        <v>130</v>
      </c>
      <c r="D449" s="40">
        <v>65</v>
      </c>
    </row>
    <row r="450" spans="1:4" x14ac:dyDescent="0.3">
      <c r="A450" t="s">
        <v>95</v>
      </c>
      <c r="B450" t="s">
        <v>94</v>
      </c>
      <c r="D450" s="40">
        <v>34.5</v>
      </c>
    </row>
    <row r="451" spans="1:4" x14ac:dyDescent="0.3">
      <c r="A451" t="s">
        <v>101</v>
      </c>
      <c r="B451" t="s">
        <v>100</v>
      </c>
      <c r="D451" s="40">
        <v>26.5</v>
      </c>
    </row>
    <row r="452" spans="1:4" x14ac:dyDescent="0.3">
      <c r="A452" t="s">
        <v>93</v>
      </c>
      <c r="B452" t="s">
        <v>92</v>
      </c>
      <c r="D452" s="40">
        <v>21.85</v>
      </c>
    </row>
    <row r="453" spans="1:4" x14ac:dyDescent="0.3">
      <c r="A453" t="s">
        <v>898</v>
      </c>
      <c r="B453" t="s">
        <v>897</v>
      </c>
      <c r="D453" s="40">
        <v>55</v>
      </c>
    </row>
    <row r="454" spans="1:4" x14ac:dyDescent="0.3">
      <c r="A454" t="s">
        <v>896</v>
      </c>
      <c r="B454" t="s">
        <v>895</v>
      </c>
      <c r="D454" s="40">
        <v>60</v>
      </c>
    </row>
    <row r="455" spans="1:4" x14ac:dyDescent="0.3">
      <c r="A455" t="s">
        <v>902</v>
      </c>
      <c r="B455" t="s">
        <v>901</v>
      </c>
      <c r="D455" s="40">
        <v>65</v>
      </c>
    </row>
    <row r="456" spans="1:4" x14ac:dyDescent="0.3">
      <c r="A456" t="s">
        <v>894</v>
      </c>
      <c r="B456" t="s">
        <v>893</v>
      </c>
      <c r="D456" s="40">
        <v>75</v>
      </c>
    </row>
    <row r="457" spans="1:4" x14ac:dyDescent="0.3">
      <c r="A457" t="s">
        <v>900</v>
      </c>
      <c r="B457" t="s">
        <v>899</v>
      </c>
      <c r="D457" s="40">
        <v>75</v>
      </c>
    </row>
    <row r="458" spans="1:4" x14ac:dyDescent="0.3">
      <c r="A458" t="s">
        <v>149</v>
      </c>
      <c r="B458" t="s">
        <v>148</v>
      </c>
      <c r="D458" s="40">
        <v>22</v>
      </c>
    </row>
    <row r="459" spans="1:4" x14ac:dyDescent="0.3">
      <c r="A459" t="s">
        <v>91</v>
      </c>
      <c r="B459" t="s">
        <v>90</v>
      </c>
      <c r="D459" s="40">
        <v>16.5</v>
      </c>
    </row>
    <row r="460" spans="1:4" x14ac:dyDescent="0.3">
      <c r="A460" t="s">
        <v>127</v>
      </c>
      <c r="B460" t="s">
        <v>126</v>
      </c>
      <c r="D460" s="40">
        <v>145</v>
      </c>
    </row>
    <row r="461" spans="1:4" x14ac:dyDescent="0.3">
      <c r="A461" t="s">
        <v>123</v>
      </c>
      <c r="B461" t="s">
        <v>122</v>
      </c>
      <c r="D461" s="40">
        <v>55</v>
      </c>
    </row>
    <row r="462" spans="1:4" x14ac:dyDescent="0.3">
      <c r="A462" t="s">
        <v>791</v>
      </c>
      <c r="B462" t="s">
        <v>790</v>
      </c>
      <c r="D462" s="40">
        <v>425</v>
      </c>
    </row>
    <row r="463" spans="1:4" x14ac:dyDescent="0.3">
      <c r="A463" t="s">
        <v>910</v>
      </c>
      <c r="B463" t="s">
        <v>909</v>
      </c>
      <c r="D463" s="40">
        <v>65</v>
      </c>
    </row>
    <row r="464" spans="1:4" x14ac:dyDescent="0.3">
      <c r="A464" t="s">
        <v>793</v>
      </c>
      <c r="B464" t="s">
        <v>792</v>
      </c>
      <c r="D464" s="40">
        <v>620</v>
      </c>
    </row>
    <row r="465" spans="1:4" x14ac:dyDescent="0.3">
      <c r="A465" t="s">
        <v>743</v>
      </c>
      <c r="B465" t="s">
        <v>742</v>
      </c>
      <c r="D465" s="40">
        <v>99</v>
      </c>
    </row>
    <row r="466" spans="1:4" x14ac:dyDescent="0.3">
      <c r="A466" t="s">
        <v>741</v>
      </c>
      <c r="B466" t="s">
        <v>740</v>
      </c>
      <c r="D466" s="40">
        <v>75</v>
      </c>
    </row>
    <row r="467" spans="1:4" x14ac:dyDescent="0.3">
      <c r="A467" t="s">
        <v>771</v>
      </c>
      <c r="B467" t="s">
        <v>770</v>
      </c>
      <c r="D467" s="40">
        <v>22</v>
      </c>
    </row>
    <row r="468" spans="1:4" x14ac:dyDescent="0.3">
      <c r="A468" t="s">
        <v>995</v>
      </c>
      <c r="B468" t="s">
        <v>994</v>
      </c>
      <c r="D468" s="40">
        <v>75</v>
      </c>
    </row>
    <row r="469" spans="1:4" x14ac:dyDescent="0.3">
      <c r="A469" t="s">
        <v>908</v>
      </c>
      <c r="B469" t="s">
        <v>907</v>
      </c>
      <c r="D469" s="40">
        <v>65</v>
      </c>
    </row>
    <row r="470" spans="1:4" x14ac:dyDescent="0.3">
      <c r="A470" t="s">
        <v>906</v>
      </c>
      <c r="B470" t="s">
        <v>905</v>
      </c>
      <c r="D470" s="40">
        <v>65</v>
      </c>
    </row>
    <row r="471" spans="1:4" x14ac:dyDescent="0.3">
      <c r="A471" t="s">
        <v>789</v>
      </c>
      <c r="B471" t="s">
        <v>788</v>
      </c>
      <c r="D471" s="40">
        <v>299</v>
      </c>
    </row>
    <row r="472" spans="1:4" x14ac:dyDescent="0.3">
      <c r="A472" t="s">
        <v>904</v>
      </c>
      <c r="B472" t="s">
        <v>903</v>
      </c>
      <c r="D472" s="40">
        <v>35</v>
      </c>
    </row>
    <row r="473" spans="1:4" x14ac:dyDescent="0.3">
      <c r="A473" t="s">
        <v>801</v>
      </c>
      <c r="B473" t="s">
        <v>800</v>
      </c>
      <c r="D473" s="40">
        <v>25</v>
      </c>
    </row>
    <row r="474" spans="1:4" x14ac:dyDescent="0.3">
      <c r="A474" t="s">
        <v>991</v>
      </c>
      <c r="B474" t="s">
        <v>990</v>
      </c>
      <c r="D474" s="40">
        <v>17.989999999999998</v>
      </c>
    </row>
    <row r="475" spans="1:4" x14ac:dyDescent="0.3">
      <c r="A475" t="s">
        <v>831</v>
      </c>
      <c r="B475" t="s">
        <v>830</v>
      </c>
      <c r="D475" s="40">
        <v>69</v>
      </c>
    </row>
    <row r="476" spans="1:4" x14ac:dyDescent="0.3">
      <c r="A476" t="s">
        <v>829</v>
      </c>
      <c r="B476" t="s">
        <v>828</v>
      </c>
      <c r="D476" s="40">
        <v>72</v>
      </c>
    </row>
    <row r="477" spans="1:4" x14ac:dyDescent="0.3">
      <c r="A477" t="s">
        <v>799</v>
      </c>
      <c r="B477" t="s">
        <v>798</v>
      </c>
      <c r="D477" s="40">
        <v>25</v>
      </c>
    </row>
    <row r="478" spans="1:4" x14ac:dyDescent="0.3">
      <c r="A478" t="s">
        <v>805</v>
      </c>
      <c r="B478" t="s">
        <v>804</v>
      </c>
      <c r="D478" s="40">
        <v>19</v>
      </c>
    </row>
    <row r="479" spans="1:4" x14ac:dyDescent="0.3">
      <c r="A479" t="s">
        <v>649</v>
      </c>
      <c r="B479" t="s">
        <v>648</v>
      </c>
      <c r="D479" s="40">
        <v>5.5</v>
      </c>
    </row>
    <row r="480" spans="1:4" x14ac:dyDescent="0.3">
      <c r="A480" t="s">
        <v>647</v>
      </c>
      <c r="B480" t="s">
        <v>646</v>
      </c>
      <c r="D480" s="40">
        <v>5.5</v>
      </c>
    </row>
    <row r="481" spans="1:4" x14ac:dyDescent="0.3">
      <c r="A481" t="s">
        <v>673</v>
      </c>
      <c r="B481" t="s">
        <v>672</v>
      </c>
      <c r="D481" s="40">
        <v>22</v>
      </c>
    </row>
    <row r="482" spans="1:4" x14ac:dyDescent="0.3">
      <c r="A482" t="s">
        <v>989</v>
      </c>
      <c r="B482" t="s">
        <v>988</v>
      </c>
      <c r="D482" s="40">
        <v>29.99</v>
      </c>
    </row>
    <row r="483" spans="1:4" x14ac:dyDescent="0.3">
      <c r="A483" t="s">
        <v>797</v>
      </c>
      <c r="B483" t="s">
        <v>796</v>
      </c>
      <c r="D483" s="40">
        <v>15</v>
      </c>
    </row>
    <row r="484" spans="1:4" x14ac:dyDescent="0.3">
      <c r="A484" t="s">
        <v>643</v>
      </c>
      <c r="B484" t="s">
        <v>642</v>
      </c>
      <c r="D484" s="40">
        <v>3.5</v>
      </c>
    </row>
    <row r="485" spans="1:4" x14ac:dyDescent="0.3">
      <c r="A485" t="s">
        <v>795</v>
      </c>
      <c r="B485" t="s">
        <v>794</v>
      </c>
      <c r="D485" s="40">
        <v>9</v>
      </c>
    </row>
    <row r="486" spans="1:4" x14ac:dyDescent="0.3">
      <c r="A486" t="s">
        <v>389</v>
      </c>
      <c r="B486" t="s">
        <v>388</v>
      </c>
      <c r="D486" s="40">
        <v>32.200000000000003</v>
      </c>
    </row>
    <row r="487" spans="1:4" x14ac:dyDescent="0.3">
      <c r="D487" s="15"/>
    </row>
  </sheetData>
  <sortState xmlns:xlrd2="http://schemas.microsoft.com/office/spreadsheetml/2017/richdata2" ref="A5:D490">
    <sortCondition descending="1" ref="A4:A4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Cover</vt:lpstr>
      <vt:lpstr>Quotation</vt:lpstr>
      <vt:lpstr>Customers</vt:lpstr>
      <vt:lpstr>Products</vt:lpstr>
      <vt:lpstr>Code</vt:lpstr>
      <vt:lpstr>Contact</vt:lpstr>
      <vt:lpstr>Name</vt:lpstr>
      <vt:lpstr>Price</vt:lpstr>
      <vt:lpstr>Quotation!Print_Area</vt:lpstr>
      <vt:lpstr>Product</vt:lpstr>
      <vt:lpstr>StockCode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Udall</dc:creator>
  <cp:lastModifiedBy>Deshnee Munthree</cp:lastModifiedBy>
  <cp:lastPrinted>2025-11-10T08:43:48Z</cp:lastPrinted>
  <dcterms:created xsi:type="dcterms:W3CDTF">2022-01-17T14:28:12Z</dcterms:created>
  <dcterms:modified xsi:type="dcterms:W3CDTF">2025-11-30T20:07:29Z</dcterms:modified>
</cp:coreProperties>
</file>